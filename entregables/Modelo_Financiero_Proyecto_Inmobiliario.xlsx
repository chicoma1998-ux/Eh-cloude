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Supuestos" sheetId="2" state="visible" r:id="rId2"/>
    <sheet name="Cronograma_Valorizado" sheetId="3" state="visible" r:id="rId3"/>
    <sheet name="Flujo_Caja" sheetId="4" state="visible" r:id="rId4"/>
    <sheet name="Estado_Resultados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i val="1"/>
      <color rgb="00C00000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1F3864"/>
      <sz val="18"/>
    </font>
    <font>
      <name val="Arial"/>
      <i val="1"/>
      <color rgb="0080808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00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4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0" fontId="4" fillId="4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3" fontId="8" fillId="0" borderId="0" pivotButton="0" quotePrefix="0" xfId="0"/>
    <xf numFmtId="3" fontId="4" fillId="4" borderId="0" applyAlignment="1" pivotButton="0" quotePrefix="0" xfId="0">
      <alignment horizontal="center" vertical="center" wrapText="1"/>
    </xf>
    <xf numFmtId="0" fontId="3" fillId="0" borderId="0" pivotButton="0" quotePrefix="0" xfId="0"/>
    <xf numFmtId="165" fontId="8" fillId="0" borderId="0" pivotButton="0" quotePrefix="0" xfId="0"/>
    <xf numFmtId="165" fontId="3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4" fontId="3" fillId="0" borderId="0" pivotButton="0" quotePrefix="0" xfId="0"/>
    <xf numFmtId="0" fontId="8" fillId="6" borderId="0" pivotButton="0" quotePrefix="0" xfId="0"/>
    <xf numFmtId="164" fontId="8" fillId="6" borderId="0" pivotButton="0" quotePrefix="0" xfId="0"/>
    <xf numFmtId="164" fontId="3" fillId="6" borderId="0" pivotButton="0" quotePrefix="0" xfId="0"/>
    <xf numFmtId="0" fontId="5" fillId="0" borderId="0" pivotButton="0" quotePrefix="0" xfId="0"/>
    <xf numFmtId="164" fontId="9" fillId="0" borderId="0" pivotButton="0" quotePrefix="0" xfId="0"/>
    <xf numFmtId="0" fontId="8" fillId="6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164" fontId="8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Modelo</author>
  </authors>
  <commentList>
    <comment ref="C10" authorId="0" shapeId="0">
      <text>
        <t>Desembolso = % de la obra respaldado por financiamiento/carta fianza × valorización del mes. Sustenta el calendario de desembolsos y el dimensionamiento de la carta fianza.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40" customWidth="1" min="3" max="3"/>
  </cols>
  <sheetData>
    <row r="2">
      <c r="B2" s="1" t="inlineStr">
        <is>
          <t>MODELO FINANCIERO – PROYECTO INMOBILIARIO</t>
        </is>
      </c>
    </row>
    <row r="3">
      <c r="B3" s="2" t="inlineStr">
        <is>
          <t>Flujo de caja · Cronograma valorizado · Estado de resultados · Indicadores</t>
        </is>
      </c>
    </row>
    <row r="5">
      <c r="B5" s="3" t="inlineStr">
        <is>
          <t>Proyecto:</t>
        </is>
      </c>
      <c r="C5" s="4" t="inlineStr">
        <is>
          <t>VILLA EL MILAGRO – AVN, Programa Techo Propio</t>
        </is>
      </c>
    </row>
    <row r="6">
      <c r="B6" s="3" t="inlineStr">
        <is>
          <t>Empresa desarrolladora:</t>
        </is>
      </c>
      <c r="C6" s="4" t="inlineStr">
        <is>
          <t>INVERSIONES ESTRATÉGICAS INTEGRALES S.A.C.</t>
        </is>
      </c>
    </row>
    <row r="7">
      <c r="B7" s="3" t="inlineStr">
        <is>
          <t>Elaborado por:</t>
        </is>
      </c>
      <c r="C7" s="4" t="inlineStr">
        <is>
          <t>Enrique Huidobro – Economista (RUC 10723712039)</t>
        </is>
      </c>
    </row>
    <row r="8">
      <c r="B8" s="3" t="inlineStr">
        <is>
          <t>Fecha:</t>
        </is>
      </c>
      <c r="C8" s="4" t="inlineStr">
        <is>
          <t>31/07/2026</t>
        </is>
      </c>
    </row>
    <row r="9">
      <c r="B9" s="3" t="inlineStr">
        <is>
          <t>Moneda:</t>
        </is>
      </c>
      <c r="C9" s="4" t="inlineStr">
        <is>
          <t>Soles (S/)</t>
        </is>
      </c>
    </row>
    <row r="10">
      <c r="B10" s="3" t="inlineStr">
        <is>
          <t>Destino:</t>
        </is>
      </c>
      <c r="C10" s="4" t="inlineStr">
        <is>
          <t>Sustento para carta fianza ante empresas aseguradoras</t>
        </is>
      </c>
    </row>
    <row r="12">
      <c r="B12" s="5" t="inlineStr">
        <is>
          <t>CONTENIDO DEL LIBRO</t>
        </is>
      </c>
    </row>
    <row r="13">
      <c r="B13" s="3" t="inlineStr">
        <is>
          <t>1. Supuestos</t>
        </is>
      </c>
      <c r="C13" s="6" t="inlineStr">
        <is>
          <t>Parámetros editables del proyecto (celdas amarillas).</t>
        </is>
      </c>
    </row>
    <row r="14">
      <c r="B14" s="3" t="inlineStr">
        <is>
          <t>2. Cronograma_Valorizado</t>
        </is>
      </c>
      <c r="C14" s="6" t="inlineStr">
        <is>
          <t>Avance de obra y desembolsos bancarios por mes.</t>
        </is>
      </c>
    </row>
    <row r="15">
      <c r="B15" s="3" t="inlineStr">
        <is>
          <t>3. Flujo_Caja</t>
        </is>
      </c>
      <c r="C15" s="6" t="inlineStr">
        <is>
          <t>Ingresos, egresos y flujo neto mensual (24 meses).</t>
        </is>
      </c>
    </row>
    <row r="16">
      <c r="B16" s="3" t="inlineStr">
        <is>
          <t>4. Estado_Resultados</t>
        </is>
      </c>
      <c r="C16" s="6" t="inlineStr">
        <is>
          <t>P&amp;L proyectado, utilidad y márgenes.</t>
        </is>
      </c>
    </row>
    <row r="17">
      <c r="B17" s="3" t="inlineStr">
        <is>
          <t>5. Resumen</t>
        </is>
      </c>
      <c r="C17" s="6" t="inlineStr">
        <is>
          <t>Indicadores: VAN, TIR, ROI, apalancamiento.</t>
        </is>
      </c>
    </row>
    <row r="19">
      <c r="B19" s="7" t="inlineStr">
        <is>
          <t>Cómo usar: edite solo las celdas amarillas (inputs). Todo lo demás se recalcula automáticamente.</t>
        </is>
      </c>
    </row>
  </sheetData>
  <mergeCells count="4">
    <mergeCell ref="B3:C3"/>
    <mergeCell ref="B19:C19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2" customWidth="1" min="3" max="3"/>
  </cols>
  <sheetData>
    <row r="1" ht="26" customHeight="1">
      <c r="A1" s="8" t="inlineStr">
        <is>
          <t>SUPUESTOS Y PARÁMETROS DEL PROYECTO</t>
        </is>
      </c>
    </row>
    <row r="3">
      <c r="A3" s="9" t="inlineStr">
        <is>
          <t>1. DATOS GENERALES</t>
        </is>
      </c>
    </row>
    <row r="4">
      <c r="A4" s="6" t="inlineStr">
        <is>
          <t>Nombre del proyecto</t>
        </is>
      </c>
      <c r="B4" s="10" t="inlineStr">
        <is>
          <t>VILLA EL MILAGRO (AVN – Techo Propio)</t>
        </is>
      </c>
      <c r="C4" s="11" t="inlineStr">
        <is>
          <t>Editable</t>
        </is>
      </c>
    </row>
    <row r="5">
      <c r="A5" s="6" t="inlineStr">
        <is>
          <t>Ubicación</t>
        </is>
      </c>
      <c r="B5" s="10" t="inlineStr">
        <is>
          <t>[Distrito, Provincia]</t>
        </is>
      </c>
      <c r="C5" s="11" t="inlineStr">
        <is>
          <t>Completar</t>
        </is>
      </c>
    </row>
    <row r="6">
      <c r="A6" s="6" t="inlineStr">
        <is>
          <t>Horizonte de evaluación (meses)</t>
        </is>
      </c>
      <c r="B6" s="12" t="n">
        <v>24</v>
      </c>
    </row>
    <row r="7">
      <c r="A7" s="6" t="inlineStr">
        <is>
          <t>Área techada vendible (m²)</t>
        </is>
      </c>
      <c r="B7" s="13" t="n">
        <v>3009.395</v>
      </c>
    </row>
    <row r="8">
      <c r="A8" s="6" t="inlineStr">
        <is>
          <t>N° de unidades inmobiliarias</t>
        </is>
      </c>
      <c r="B8" s="12" t="n">
        <v>20</v>
      </c>
    </row>
    <row r="10">
      <c r="A10" s="9" t="inlineStr">
        <is>
          <t>2. INGRESOS Y VENTAS</t>
        </is>
      </c>
    </row>
    <row r="11">
      <c r="A11" s="6" t="inlineStr">
        <is>
          <t>Precio de venta promedio por unidad (S/)</t>
        </is>
      </c>
      <c r="B11" s="14" t="n">
        <v>560000</v>
      </c>
    </row>
    <row r="12">
      <c r="A12" s="6" t="inlineStr">
        <is>
          <t>Ventas totales del proyecto (S/)</t>
        </is>
      </c>
      <c r="B12" s="15">
        <f>B8*B11</f>
        <v/>
      </c>
    </row>
    <row r="13">
      <c r="A13" s="6" t="inlineStr">
        <is>
          <t>Cuota inicial de clientes (%)</t>
        </is>
      </c>
      <c r="B13" s="16" t="n">
        <v>0.1</v>
      </c>
      <c r="C13" s="11" t="inlineStr">
        <is>
          <t>% que paga el cliente durante la obra</t>
        </is>
      </c>
    </row>
    <row r="14">
      <c r="A14" s="6" t="inlineStr">
        <is>
          <t>Saldo financiado por crédito hipotecario (%)</t>
        </is>
      </c>
      <c r="B14" s="17">
        <f>1-B13</f>
        <v/>
      </c>
    </row>
    <row r="16">
      <c r="A16" s="9" t="inlineStr">
        <is>
          <t>3. COSTOS DEL PROYECTO</t>
        </is>
      </c>
    </row>
    <row r="17">
      <c r="A17" s="6" t="inlineStr">
        <is>
          <t>Costo del terreno (S/)</t>
        </is>
      </c>
      <c r="B17" s="14" t="n">
        <v>2500000</v>
      </c>
    </row>
    <row r="18">
      <c r="A18" s="6" t="inlineStr">
        <is>
          <t>Costo total de construcción (S/)</t>
        </is>
      </c>
      <c r="B18" s="14" t="n">
        <v>3998621.74</v>
      </c>
    </row>
    <row r="19">
      <c r="A19" s="6" t="inlineStr">
        <is>
          <t>Costo de construcción por m² (S/)</t>
        </is>
      </c>
      <c r="B19" s="15">
        <f>B18/B7</f>
        <v/>
      </c>
    </row>
    <row r="20">
      <c r="A20" s="6" t="inlineStr">
        <is>
          <t>Licencias, proyectos y estudios (% de construcción)</t>
        </is>
      </c>
      <c r="B20" s="16" t="n">
        <v>0.06</v>
      </c>
    </row>
    <row r="21">
      <c r="A21" s="6" t="inlineStr">
        <is>
          <t>Monto licencias/proyectos (S/)</t>
        </is>
      </c>
      <c r="B21" s="15">
        <f>B18*B20</f>
        <v/>
      </c>
    </row>
    <row r="22">
      <c r="A22" s="6" t="inlineStr">
        <is>
          <t>Gastos de comercialización (% de ventas)</t>
        </is>
      </c>
      <c r="B22" s="16" t="n">
        <v>0.03</v>
      </c>
    </row>
    <row r="23">
      <c r="A23" s="6" t="inlineStr">
        <is>
          <t>Monto comercialización (S/)</t>
        </is>
      </c>
      <c r="B23" s="15">
        <f>B12*B22</f>
        <v/>
      </c>
    </row>
    <row r="24">
      <c r="A24" s="6" t="inlineStr">
        <is>
          <t>Gastos administrativos / gerencia (% de ventas)</t>
        </is>
      </c>
      <c r="B24" s="16" t="n">
        <v>0.04</v>
      </c>
    </row>
    <row r="25">
      <c r="A25" s="6" t="inlineStr">
        <is>
          <t>Monto administrativos (S/)</t>
        </is>
      </c>
      <c r="B25" s="15">
        <f>B12*B24</f>
        <v/>
      </c>
    </row>
    <row r="27">
      <c r="A27" s="9" t="inlineStr">
        <is>
          <t>4. FINANCIAMIENTO / GARANTÍA (CARTA FIANZA)</t>
        </is>
      </c>
    </row>
    <row r="28">
      <c r="A28" s="6" t="inlineStr">
        <is>
          <t>Línea de financiamiento (% de la construcción)</t>
        </is>
      </c>
      <c r="B28" s="16" t="n">
        <v>0.6</v>
      </c>
      <c r="C28" s="11" t="inlineStr">
        <is>
          <t>Porcentaje de la obra respaldado por financiamiento / carta fianza</t>
        </is>
      </c>
    </row>
    <row r="29">
      <c r="A29" s="6" t="inlineStr">
        <is>
          <t>Monto máximo de la línea (S/)</t>
        </is>
      </c>
      <c r="B29" s="15">
        <f>B18*B28</f>
        <v/>
      </c>
    </row>
    <row r="30">
      <c r="A30" s="6" t="inlineStr">
        <is>
          <t>Tasa de interés anual (TEA)</t>
        </is>
      </c>
      <c r="B30" s="18" t="n">
        <v>0.12</v>
      </c>
    </row>
    <row r="31">
      <c r="A31" s="6" t="inlineStr">
        <is>
          <t>Tasa de interés mensual (TEM)</t>
        </is>
      </c>
      <c r="B31" s="19">
        <f>(1+B30)^(1/12)-1</f>
        <v/>
      </c>
    </row>
    <row r="33">
      <c r="A33" s="9" t="inlineStr">
        <is>
          <t>5. EVALUACIÓN ECONÓMICA</t>
        </is>
      </c>
    </row>
    <row r="34">
      <c r="A34" s="6" t="inlineStr">
        <is>
          <t>Tasa de descuento anual (COK)</t>
        </is>
      </c>
      <c r="B34" s="18" t="n">
        <v>0.15</v>
      </c>
    </row>
    <row r="35">
      <c r="A35" s="6" t="inlineStr">
        <is>
          <t>Tasa de descuento mensual</t>
        </is>
      </c>
      <c r="B35" s="19">
        <f>(1+B34)^(1/12)-1</f>
        <v/>
      </c>
    </row>
    <row r="36">
      <c r="A36" s="6" t="inlineStr">
        <is>
          <t>Impuesto a la renta (%)</t>
        </is>
      </c>
      <c r="B36" s="18" t="n">
        <v>0.295</v>
      </c>
    </row>
    <row r="39">
      <c r="A39" s="7" t="inlineStr">
        <is>
          <t>Leyenda:  Celdas amarillas = datos editables (inputs).  Celdas blancas = calculadas por fórmula.</t>
        </is>
      </c>
    </row>
  </sheetData>
  <mergeCells count="7">
    <mergeCell ref="A10:C10"/>
    <mergeCell ref="A33:C33"/>
    <mergeCell ref="A1:C1"/>
    <mergeCell ref="A27:C27"/>
    <mergeCell ref="A3:C3"/>
    <mergeCell ref="A39:C39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6" customHeight="1">
      <c r="A1" s="8" t="inlineStr">
        <is>
          <t>CRONOGRAMA VALORIZADO DE OBRA Y CALENDARIO DE DESEMBOLSOS</t>
        </is>
      </c>
    </row>
    <row r="3">
      <c r="A3" s="20" t="inlineStr">
        <is>
          <t>Concepto</t>
        </is>
      </c>
      <c r="B3" s="21" t="inlineStr">
        <is>
          <t>Total</t>
        </is>
      </c>
      <c r="C3" s="21" t="inlineStr">
        <is>
          <t>Mes 1</t>
        </is>
      </c>
      <c r="D3" s="21" t="inlineStr">
        <is>
          <t>Mes 2</t>
        </is>
      </c>
      <c r="E3" s="21" t="inlineStr">
        <is>
          <t>Mes 3</t>
        </is>
      </c>
      <c r="F3" s="21" t="inlineStr">
        <is>
          <t>Mes 4</t>
        </is>
      </c>
      <c r="G3" s="21" t="inlineStr">
        <is>
          <t>Mes 5</t>
        </is>
      </c>
      <c r="H3" s="21" t="inlineStr">
        <is>
          <t>Mes 6</t>
        </is>
      </c>
      <c r="I3" s="21" t="inlineStr">
        <is>
          <t>Mes 7</t>
        </is>
      </c>
      <c r="J3" s="21" t="inlineStr">
        <is>
          <t>Mes 8</t>
        </is>
      </c>
      <c r="K3" s="21" t="inlineStr">
        <is>
          <t>Mes 9</t>
        </is>
      </c>
      <c r="L3" s="21" t="inlineStr">
        <is>
          <t>Mes 10</t>
        </is>
      </c>
      <c r="M3" s="21" t="inlineStr">
        <is>
          <t>Mes 11</t>
        </is>
      </c>
      <c r="N3" s="21" t="inlineStr">
        <is>
          <t>Mes 12</t>
        </is>
      </c>
      <c r="O3" s="21" t="inlineStr">
        <is>
          <t>Mes 13</t>
        </is>
      </c>
      <c r="P3" s="21" t="inlineStr">
        <is>
          <t>Mes 14</t>
        </is>
      </c>
      <c r="Q3" s="21" t="inlineStr">
        <is>
          <t>Mes 15</t>
        </is>
      </c>
      <c r="R3" s="21" t="inlineStr">
        <is>
          <t>Mes 16</t>
        </is>
      </c>
      <c r="S3" s="21" t="inlineStr">
        <is>
          <t>Mes 17</t>
        </is>
      </c>
      <c r="T3" s="21" t="inlineStr">
        <is>
          <t>Mes 18</t>
        </is>
      </c>
      <c r="U3" s="21" t="inlineStr">
        <is>
          <t>Mes 19</t>
        </is>
      </c>
      <c r="V3" s="21" t="inlineStr">
        <is>
          <t>Mes 20</t>
        </is>
      </c>
      <c r="W3" s="21" t="inlineStr">
        <is>
          <t>Mes 21</t>
        </is>
      </c>
      <c r="X3" s="21" t="inlineStr">
        <is>
          <t>Mes 22</t>
        </is>
      </c>
      <c r="Y3" s="21" t="inlineStr">
        <is>
          <t>Mes 23</t>
        </is>
      </c>
      <c r="Z3" s="21" t="inlineStr">
        <is>
          <t>Mes 24</t>
        </is>
      </c>
    </row>
    <row r="4">
      <c r="A4" s="6" t="inlineStr">
        <is>
          <t>Perfil de avance de obra (peso S-curve)</t>
        </is>
      </c>
      <c r="B4" s="22">
        <f>SUM(C4:Z4)</f>
        <v/>
      </c>
      <c r="C4" s="23" t="n">
        <v>0</v>
      </c>
      <c r="D4" s="23" t="n">
        <v>0</v>
      </c>
      <c r="E4" s="23" t="n">
        <v>0</v>
      </c>
      <c r="F4" s="23" t="n">
        <v>2</v>
      </c>
      <c r="G4" s="23" t="n">
        <v>3</v>
      </c>
      <c r="H4" s="23" t="n">
        <v>4</v>
      </c>
      <c r="I4" s="23" t="n">
        <v>5</v>
      </c>
      <c r="J4" s="23" t="n">
        <v>6</v>
      </c>
      <c r="K4" s="23" t="n">
        <v>7</v>
      </c>
      <c r="L4" s="23" t="n">
        <v>8</v>
      </c>
      <c r="M4" s="23" t="n">
        <v>8</v>
      </c>
      <c r="N4" s="23" t="n">
        <v>8</v>
      </c>
      <c r="O4" s="23" t="n">
        <v>8</v>
      </c>
      <c r="P4" s="23" t="n">
        <v>8</v>
      </c>
      <c r="Q4" s="23" t="n">
        <v>7</v>
      </c>
      <c r="R4" s="23" t="n">
        <v>7</v>
      </c>
      <c r="S4" s="23" t="n">
        <v>6</v>
      </c>
      <c r="T4" s="23" t="n">
        <v>5</v>
      </c>
      <c r="U4" s="23" t="n">
        <v>4</v>
      </c>
      <c r="V4" s="23" t="n">
        <v>3</v>
      </c>
      <c r="W4" s="23" t="n">
        <v>2</v>
      </c>
      <c r="X4" s="23" t="n">
        <v>0</v>
      </c>
      <c r="Y4" s="23" t="n">
        <v>0</v>
      </c>
      <c r="Z4" s="23" t="n">
        <v>0</v>
      </c>
    </row>
    <row r="5">
      <c r="A5" s="24" t="inlineStr">
        <is>
          <t>% de avance del mes</t>
        </is>
      </c>
      <c r="B5" s="25">
        <f>SUM(C5:Z5)</f>
        <v/>
      </c>
      <c r="C5" s="26">
        <f>C4/$B$4</f>
        <v/>
      </c>
      <c r="D5" s="26">
        <f>D4/$B$4</f>
        <v/>
      </c>
      <c r="E5" s="26">
        <f>E4/$B$4</f>
        <v/>
      </c>
      <c r="F5" s="26">
        <f>F4/$B$4</f>
        <v/>
      </c>
      <c r="G5" s="26">
        <f>G4/$B$4</f>
        <v/>
      </c>
      <c r="H5" s="26">
        <f>H4/$B$4</f>
        <v/>
      </c>
      <c r="I5" s="26">
        <f>I4/$B$4</f>
        <v/>
      </c>
      <c r="J5" s="26">
        <f>J4/$B$4</f>
        <v/>
      </c>
      <c r="K5" s="26">
        <f>K4/$B$4</f>
        <v/>
      </c>
      <c r="L5" s="26">
        <f>L4/$B$4</f>
        <v/>
      </c>
      <c r="M5" s="26">
        <f>M4/$B$4</f>
        <v/>
      </c>
      <c r="N5" s="26">
        <f>N4/$B$4</f>
        <v/>
      </c>
      <c r="O5" s="26">
        <f>O4/$B$4</f>
        <v/>
      </c>
      <c r="P5" s="26">
        <f>P4/$B$4</f>
        <v/>
      </c>
      <c r="Q5" s="26">
        <f>Q4/$B$4</f>
        <v/>
      </c>
      <c r="R5" s="26">
        <f>R4/$B$4</f>
        <v/>
      </c>
      <c r="S5" s="26">
        <f>S4/$B$4</f>
        <v/>
      </c>
      <c r="T5" s="26">
        <f>T4/$B$4</f>
        <v/>
      </c>
      <c r="U5" s="26">
        <f>U4/$B$4</f>
        <v/>
      </c>
      <c r="V5" s="26">
        <f>V4/$B$4</f>
        <v/>
      </c>
      <c r="W5" s="26">
        <f>W4/$B$4</f>
        <v/>
      </c>
      <c r="X5" s="26">
        <f>X4/$B$4</f>
        <v/>
      </c>
      <c r="Y5" s="26">
        <f>Y4/$B$4</f>
        <v/>
      </c>
      <c r="Z5" s="26">
        <f>Z4/$B$4</f>
        <v/>
      </c>
    </row>
    <row r="6">
      <c r="A6" s="27" t="inlineStr">
        <is>
          <t>Valorización de obra del mes (S/)</t>
        </is>
      </c>
      <c r="B6" s="28">
        <f>SUM(C6:Z6)</f>
        <v/>
      </c>
      <c r="C6" s="29">
        <f>C5*Supuestos!$B$18</f>
        <v/>
      </c>
      <c r="D6" s="29">
        <f>D5*Supuestos!$B$18</f>
        <v/>
      </c>
      <c r="E6" s="29">
        <f>E5*Supuestos!$B$18</f>
        <v/>
      </c>
      <c r="F6" s="29">
        <f>F5*Supuestos!$B$18</f>
        <v/>
      </c>
      <c r="G6" s="29">
        <f>G5*Supuestos!$B$18</f>
        <v/>
      </c>
      <c r="H6" s="29">
        <f>H5*Supuestos!$B$18</f>
        <v/>
      </c>
      <c r="I6" s="29">
        <f>I5*Supuestos!$B$18</f>
        <v/>
      </c>
      <c r="J6" s="29">
        <f>J5*Supuestos!$B$18</f>
        <v/>
      </c>
      <c r="K6" s="29">
        <f>K5*Supuestos!$B$18</f>
        <v/>
      </c>
      <c r="L6" s="29">
        <f>L5*Supuestos!$B$18</f>
        <v/>
      </c>
      <c r="M6" s="29">
        <f>M5*Supuestos!$B$18</f>
        <v/>
      </c>
      <c r="N6" s="29">
        <f>N5*Supuestos!$B$18</f>
        <v/>
      </c>
      <c r="O6" s="29">
        <f>O5*Supuestos!$B$18</f>
        <v/>
      </c>
      <c r="P6" s="29">
        <f>P5*Supuestos!$B$18</f>
        <v/>
      </c>
      <c r="Q6" s="29">
        <f>Q5*Supuestos!$B$18</f>
        <v/>
      </c>
      <c r="R6" s="29">
        <f>R5*Supuestos!$B$18</f>
        <v/>
      </c>
      <c r="S6" s="29">
        <f>S5*Supuestos!$B$18</f>
        <v/>
      </c>
      <c r="T6" s="29">
        <f>T5*Supuestos!$B$18</f>
        <v/>
      </c>
      <c r="U6" s="29">
        <f>U5*Supuestos!$B$18</f>
        <v/>
      </c>
      <c r="V6" s="29">
        <f>V5*Supuestos!$B$18</f>
        <v/>
      </c>
      <c r="W6" s="29">
        <f>W5*Supuestos!$B$18</f>
        <v/>
      </c>
      <c r="X6" s="29">
        <f>X5*Supuestos!$B$18</f>
        <v/>
      </c>
      <c r="Y6" s="29">
        <f>Y5*Supuestos!$B$18</f>
        <v/>
      </c>
      <c r="Z6" s="29">
        <f>Z5*Supuestos!$B$18</f>
        <v/>
      </c>
    </row>
    <row r="7">
      <c r="A7" s="24" t="inlineStr">
        <is>
          <t>Valorización acumulada (S/)</t>
        </is>
      </c>
      <c r="C7" s="29">
        <f>C6</f>
        <v/>
      </c>
      <c r="D7" s="29">
        <f>C7+D6</f>
        <v/>
      </c>
      <c r="E7" s="29">
        <f>D7+E6</f>
        <v/>
      </c>
      <c r="F7" s="29">
        <f>E7+F6</f>
        <v/>
      </c>
      <c r="G7" s="29">
        <f>F7+G6</f>
        <v/>
      </c>
      <c r="H7" s="29">
        <f>G7+H6</f>
        <v/>
      </c>
      <c r="I7" s="29">
        <f>H7+I6</f>
        <v/>
      </c>
      <c r="J7" s="29">
        <f>I7+J6</f>
        <v/>
      </c>
      <c r="K7" s="29">
        <f>J7+K6</f>
        <v/>
      </c>
      <c r="L7" s="29">
        <f>K7+L6</f>
        <v/>
      </c>
      <c r="M7" s="29">
        <f>L7+M6</f>
        <v/>
      </c>
      <c r="N7" s="29">
        <f>M7+N6</f>
        <v/>
      </c>
      <c r="O7" s="29">
        <f>N7+O6</f>
        <v/>
      </c>
      <c r="P7" s="29">
        <f>O7+P6</f>
        <v/>
      </c>
      <c r="Q7" s="29">
        <f>P7+Q6</f>
        <v/>
      </c>
      <c r="R7" s="29">
        <f>Q7+R6</f>
        <v/>
      </c>
      <c r="S7" s="29">
        <f>R7+S6</f>
        <v/>
      </c>
      <c r="T7" s="29">
        <f>S7+T6</f>
        <v/>
      </c>
      <c r="U7" s="29">
        <f>T7+U6</f>
        <v/>
      </c>
      <c r="V7" s="29">
        <f>U7+V6</f>
        <v/>
      </c>
      <c r="W7" s="29">
        <f>V7+W6</f>
        <v/>
      </c>
      <c r="X7" s="29">
        <f>W7+X6</f>
        <v/>
      </c>
      <c r="Y7" s="29">
        <f>X7+Y6</f>
        <v/>
      </c>
      <c r="Z7" s="29">
        <f>Y7+Z6</f>
        <v/>
      </c>
    </row>
    <row r="8">
      <c r="A8" s="24" t="inlineStr">
        <is>
          <t>% avance acumulado</t>
        </is>
      </c>
      <c r="C8" s="26">
        <f>C7/Supuestos!$B$18</f>
        <v/>
      </c>
      <c r="D8" s="26">
        <f>D7/Supuestos!$B$18</f>
        <v/>
      </c>
      <c r="E8" s="26">
        <f>E7/Supuestos!$B$18</f>
        <v/>
      </c>
      <c r="F8" s="26">
        <f>F7/Supuestos!$B$18</f>
        <v/>
      </c>
      <c r="G8" s="26">
        <f>G7/Supuestos!$B$18</f>
        <v/>
      </c>
      <c r="H8" s="26">
        <f>H7/Supuestos!$B$18</f>
        <v/>
      </c>
      <c r="I8" s="26">
        <f>I7/Supuestos!$B$18</f>
        <v/>
      </c>
      <c r="J8" s="26">
        <f>J7/Supuestos!$B$18</f>
        <v/>
      </c>
      <c r="K8" s="26">
        <f>K7/Supuestos!$B$18</f>
        <v/>
      </c>
      <c r="L8" s="26">
        <f>L7/Supuestos!$B$18</f>
        <v/>
      </c>
      <c r="M8" s="26">
        <f>M7/Supuestos!$B$18</f>
        <v/>
      </c>
      <c r="N8" s="26">
        <f>N7/Supuestos!$B$18</f>
        <v/>
      </c>
      <c r="O8" s="26">
        <f>O7/Supuestos!$B$18</f>
        <v/>
      </c>
      <c r="P8" s="26">
        <f>P7/Supuestos!$B$18</f>
        <v/>
      </c>
      <c r="Q8" s="26">
        <f>Q7/Supuestos!$B$18</f>
        <v/>
      </c>
      <c r="R8" s="26">
        <f>R7/Supuestos!$B$18</f>
        <v/>
      </c>
      <c r="S8" s="26">
        <f>S7/Supuestos!$B$18</f>
        <v/>
      </c>
      <c r="T8" s="26">
        <f>T7/Supuestos!$B$18</f>
        <v/>
      </c>
      <c r="U8" s="26">
        <f>U7/Supuestos!$B$18</f>
        <v/>
      </c>
      <c r="V8" s="26">
        <f>V7/Supuestos!$B$18</f>
        <v/>
      </c>
      <c r="W8" s="26">
        <f>W7/Supuestos!$B$18</f>
        <v/>
      </c>
      <c r="X8" s="26">
        <f>X7/Supuestos!$B$18</f>
        <v/>
      </c>
      <c r="Y8" s="26">
        <f>Y7/Supuestos!$B$18</f>
        <v/>
      </c>
      <c r="Z8" s="26">
        <f>Z7/Supuestos!$B$18</f>
        <v/>
      </c>
    </row>
    <row r="10">
      <c r="A10" s="30" t="inlineStr">
        <is>
          <t>Desembolso de financiamiento del mes (S/)</t>
        </is>
      </c>
      <c r="B10" s="31">
        <f>SUM(C10:Z10)</f>
        <v/>
      </c>
      <c r="C10" s="32">
        <f>C6*Supuestos!$B$28</f>
        <v/>
      </c>
      <c r="D10" s="32">
        <f>D6*Supuestos!$B$28</f>
        <v/>
      </c>
      <c r="E10" s="32">
        <f>E6*Supuestos!$B$28</f>
        <v/>
      </c>
      <c r="F10" s="32">
        <f>F6*Supuestos!$B$28</f>
        <v/>
      </c>
      <c r="G10" s="32">
        <f>G6*Supuestos!$B$28</f>
        <v/>
      </c>
      <c r="H10" s="32">
        <f>H6*Supuestos!$B$28</f>
        <v/>
      </c>
      <c r="I10" s="32">
        <f>I6*Supuestos!$B$28</f>
        <v/>
      </c>
      <c r="J10" s="32">
        <f>J6*Supuestos!$B$28</f>
        <v/>
      </c>
      <c r="K10" s="32">
        <f>K6*Supuestos!$B$28</f>
        <v/>
      </c>
      <c r="L10" s="32">
        <f>L6*Supuestos!$B$28</f>
        <v/>
      </c>
      <c r="M10" s="32">
        <f>M6*Supuestos!$B$28</f>
        <v/>
      </c>
      <c r="N10" s="32">
        <f>N6*Supuestos!$B$28</f>
        <v/>
      </c>
      <c r="O10" s="32">
        <f>O6*Supuestos!$B$28</f>
        <v/>
      </c>
      <c r="P10" s="32">
        <f>P6*Supuestos!$B$28</f>
        <v/>
      </c>
      <c r="Q10" s="32">
        <f>Q6*Supuestos!$B$28</f>
        <v/>
      </c>
      <c r="R10" s="32">
        <f>R6*Supuestos!$B$28</f>
        <v/>
      </c>
      <c r="S10" s="32">
        <f>S6*Supuestos!$B$28</f>
        <v/>
      </c>
      <c r="T10" s="32">
        <f>T6*Supuestos!$B$28</f>
        <v/>
      </c>
      <c r="U10" s="32">
        <f>U6*Supuestos!$B$28</f>
        <v/>
      </c>
      <c r="V10" s="32">
        <f>V6*Supuestos!$B$28</f>
        <v/>
      </c>
      <c r="W10" s="32">
        <f>W6*Supuestos!$B$28</f>
        <v/>
      </c>
      <c r="X10" s="32">
        <f>X6*Supuestos!$B$28</f>
        <v/>
      </c>
      <c r="Y10" s="32">
        <f>Y6*Supuestos!$B$28</f>
        <v/>
      </c>
      <c r="Z10" s="32">
        <f>Z6*Supuestos!$B$28</f>
        <v/>
      </c>
    </row>
    <row r="11">
      <c r="A11" s="24" t="inlineStr">
        <is>
          <t>Desembolso de financiamiento acumulado (S/)</t>
        </is>
      </c>
      <c r="C11" s="29">
        <f>C10</f>
        <v/>
      </c>
      <c r="D11" s="29">
        <f>C11+D10</f>
        <v/>
      </c>
      <c r="E11" s="29">
        <f>D11+E10</f>
        <v/>
      </c>
      <c r="F11" s="29">
        <f>E11+F10</f>
        <v/>
      </c>
      <c r="G11" s="29">
        <f>F11+G10</f>
        <v/>
      </c>
      <c r="H11" s="29">
        <f>G11+H10</f>
        <v/>
      </c>
      <c r="I11" s="29">
        <f>H11+I10</f>
        <v/>
      </c>
      <c r="J11" s="29">
        <f>I11+J10</f>
        <v/>
      </c>
      <c r="K11" s="29">
        <f>J11+K10</f>
        <v/>
      </c>
      <c r="L11" s="29">
        <f>K11+L10</f>
        <v/>
      </c>
      <c r="M11" s="29">
        <f>L11+M10</f>
        <v/>
      </c>
      <c r="N11" s="29">
        <f>M11+N10</f>
        <v/>
      </c>
      <c r="O11" s="29">
        <f>N11+O10</f>
        <v/>
      </c>
      <c r="P11" s="29">
        <f>O11+P10</f>
        <v/>
      </c>
      <c r="Q11" s="29">
        <f>P11+Q10</f>
        <v/>
      </c>
      <c r="R11" s="29">
        <f>Q11+R10</f>
        <v/>
      </c>
      <c r="S11" s="29">
        <f>R11+S10</f>
        <v/>
      </c>
      <c r="T11" s="29">
        <f>S11+T10</f>
        <v/>
      </c>
      <c r="U11" s="29">
        <f>T11+U10</f>
        <v/>
      </c>
      <c r="V11" s="29">
        <f>U11+V10</f>
        <v/>
      </c>
      <c r="W11" s="29">
        <f>V11+W10</f>
        <v/>
      </c>
      <c r="X11" s="29">
        <f>W11+X10</f>
        <v/>
      </c>
      <c r="Y11" s="29">
        <f>X11+Y10</f>
        <v/>
      </c>
      <c r="Z11" s="29">
        <f>Y11+Z10</f>
        <v/>
      </c>
    </row>
    <row r="13">
      <c r="A13" s="33" t="inlineStr">
        <is>
          <t>Nota: el desembolso bancario se ata a la valorización mensual de obra (avance físico real). Ajuste el perfil S-curve (fila azul) según el cronograma de ejecución del proyecto.</t>
        </is>
      </c>
    </row>
  </sheetData>
  <mergeCells count="2">
    <mergeCell ref="A1:Z1"/>
    <mergeCell ref="A13:Z1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6" customHeight="1">
      <c r="A1" s="8" t="inlineStr">
        <is>
          <t>FLUJO DE CAJA DEL PROYECTO (mensual, en Soles)</t>
        </is>
      </c>
    </row>
    <row r="3">
      <c r="A3" s="20" t="inlineStr">
        <is>
          <t>Concepto</t>
        </is>
      </c>
      <c r="B3" s="21" t="inlineStr">
        <is>
          <t>Total</t>
        </is>
      </c>
      <c r="C3" s="21" t="inlineStr">
        <is>
          <t>Mes 1</t>
        </is>
      </c>
      <c r="D3" s="21" t="inlineStr">
        <is>
          <t>Mes 2</t>
        </is>
      </c>
      <c r="E3" s="21" t="inlineStr">
        <is>
          <t>Mes 3</t>
        </is>
      </c>
      <c r="F3" s="21" t="inlineStr">
        <is>
          <t>Mes 4</t>
        </is>
      </c>
      <c r="G3" s="21" t="inlineStr">
        <is>
          <t>Mes 5</t>
        </is>
      </c>
      <c r="H3" s="21" t="inlineStr">
        <is>
          <t>Mes 6</t>
        </is>
      </c>
      <c r="I3" s="21" t="inlineStr">
        <is>
          <t>Mes 7</t>
        </is>
      </c>
      <c r="J3" s="21" t="inlineStr">
        <is>
          <t>Mes 8</t>
        </is>
      </c>
      <c r="K3" s="21" t="inlineStr">
        <is>
          <t>Mes 9</t>
        </is>
      </c>
      <c r="L3" s="21" t="inlineStr">
        <is>
          <t>Mes 10</t>
        </is>
      </c>
      <c r="M3" s="21" t="inlineStr">
        <is>
          <t>Mes 11</t>
        </is>
      </c>
      <c r="N3" s="21" t="inlineStr">
        <is>
          <t>Mes 12</t>
        </is>
      </c>
      <c r="O3" s="21" t="inlineStr">
        <is>
          <t>Mes 13</t>
        </is>
      </c>
      <c r="P3" s="21" t="inlineStr">
        <is>
          <t>Mes 14</t>
        </is>
      </c>
      <c r="Q3" s="21" t="inlineStr">
        <is>
          <t>Mes 15</t>
        </is>
      </c>
      <c r="R3" s="21" t="inlineStr">
        <is>
          <t>Mes 16</t>
        </is>
      </c>
      <c r="S3" s="21" t="inlineStr">
        <is>
          <t>Mes 17</t>
        </is>
      </c>
      <c r="T3" s="21" t="inlineStr">
        <is>
          <t>Mes 18</t>
        </is>
      </c>
      <c r="U3" s="21" t="inlineStr">
        <is>
          <t>Mes 19</t>
        </is>
      </c>
      <c r="V3" s="21" t="inlineStr">
        <is>
          <t>Mes 20</t>
        </is>
      </c>
      <c r="W3" s="21" t="inlineStr">
        <is>
          <t>Mes 21</t>
        </is>
      </c>
      <c r="X3" s="21" t="inlineStr">
        <is>
          <t>Mes 22</t>
        </is>
      </c>
      <c r="Y3" s="21" t="inlineStr">
        <is>
          <t>Mes 23</t>
        </is>
      </c>
      <c r="Z3" s="21" t="inlineStr">
        <is>
          <t>Mes 24</t>
        </is>
      </c>
    </row>
    <row r="4">
      <c r="A4" s="9" t="inlineStr">
        <is>
          <t>DISTRIBUCIÓN TEMPORAL (perfiles editables)</t>
        </is>
      </c>
    </row>
    <row r="5">
      <c r="A5" s="6" t="inlineStr">
        <is>
          <t>Perfil de recaudo de cuota inicial (peso)</t>
        </is>
      </c>
      <c r="B5" s="22">
        <f>SUM(C5:Z5)</f>
        <v/>
      </c>
      <c r="C5" s="23" t="n">
        <v>0</v>
      </c>
      <c r="D5" s="23" t="n">
        <v>1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1</v>
      </c>
      <c r="J5" s="23" t="n">
        <v>1</v>
      </c>
      <c r="K5" s="23" t="n">
        <v>1</v>
      </c>
      <c r="L5" s="23" t="n">
        <v>1</v>
      </c>
      <c r="M5" s="23" t="n">
        <v>1</v>
      </c>
      <c r="N5" s="23" t="n">
        <v>1</v>
      </c>
      <c r="O5" s="23" t="n">
        <v>1</v>
      </c>
      <c r="P5" s="23" t="n">
        <v>1</v>
      </c>
      <c r="Q5" s="23" t="n">
        <v>1</v>
      </c>
      <c r="R5" s="23" t="n">
        <v>1</v>
      </c>
      <c r="S5" s="23" t="n">
        <v>1</v>
      </c>
      <c r="T5" s="23" t="n">
        <v>1</v>
      </c>
      <c r="U5" s="23" t="n">
        <v>1</v>
      </c>
      <c r="V5" s="23" t="n">
        <v>1</v>
      </c>
      <c r="W5" s="23" t="n">
        <v>0</v>
      </c>
      <c r="X5" s="23" t="n">
        <v>0</v>
      </c>
      <c r="Y5" s="23" t="n">
        <v>0</v>
      </c>
      <c r="Z5" s="23" t="n">
        <v>0</v>
      </c>
    </row>
    <row r="6">
      <c r="A6" s="6" t="inlineStr">
        <is>
          <t>Perfil de entrega / cobro de saldo (peso)</t>
        </is>
      </c>
      <c r="B6" s="22">
        <f>SUM(C6:Z6)</f>
        <v/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  <c r="W6" s="23" t="n">
        <v>0</v>
      </c>
      <c r="X6" s="23" t="n">
        <v>1</v>
      </c>
      <c r="Y6" s="23" t="n">
        <v>2</v>
      </c>
      <c r="Z6" s="23" t="n">
        <v>2</v>
      </c>
    </row>
    <row r="8">
      <c r="A8" s="9" t="inlineStr">
        <is>
          <t>A. INGRESOS</t>
        </is>
      </c>
    </row>
    <row r="9">
      <c r="A9" s="6" t="inlineStr">
        <is>
          <t>Cuota inicial de clientes</t>
        </is>
      </c>
      <c r="B9" s="28">
        <f>SUM(C9:Z9)</f>
        <v/>
      </c>
      <c r="C9" s="29">
        <f>(C$5/$B$5)*Supuestos!$B$12*Supuestos!$B$13</f>
        <v/>
      </c>
      <c r="D9" s="29">
        <f>(D$5/$B$5)*Supuestos!$B$12*Supuestos!$B$13</f>
        <v/>
      </c>
      <c r="E9" s="29">
        <f>(E$5/$B$5)*Supuestos!$B$12*Supuestos!$B$13</f>
        <v/>
      </c>
      <c r="F9" s="29">
        <f>(F$5/$B$5)*Supuestos!$B$12*Supuestos!$B$13</f>
        <v/>
      </c>
      <c r="G9" s="29">
        <f>(G$5/$B$5)*Supuestos!$B$12*Supuestos!$B$13</f>
        <v/>
      </c>
      <c r="H9" s="29">
        <f>(H$5/$B$5)*Supuestos!$B$12*Supuestos!$B$13</f>
        <v/>
      </c>
      <c r="I9" s="29">
        <f>(I$5/$B$5)*Supuestos!$B$12*Supuestos!$B$13</f>
        <v/>
      </c>
      <c r="J9" s="29">
        <f>(J$5/$B$5)*Supuestos!$B$12*Supuestos!$B$13</f>
        <v/>
      </c>
      <c r="K9" s="29">
        <f>(K$5/$B$5)*Supuestos!$B$12*Supuestos!$B$13</f>
        <v/>
      </c>
      <c r="L9" s="29">
        <f>(L$5/$B$5)*Supuestos!$B$12*Supuestos!$B$13</f>
        <v/>
      </c>
      <c r="M9" s="29">
        <f>(M$5/$B$5)*Supuestos!$B$12*Supuestos!$B$13</f>
        <v/>
      </c>
      <c r="N9" s="29">
        <f>(N$5/$B$5)*Supuestos!$B$12*Supuestos!$B$13</f>
        <v/>
      </c>
      <c r="O9" s="29">
        <f>(O$5/$B$5)*Supuestos!$B$12*Supuestos!$B$13</f>
        <v/>
      </c>
      <c r="P9" s="29">
        <f>(P$5/$B$5)*Supuestos!$B$12*Supuestos!$B$13</f>
        <v/>
      </c>
      <c r="Q9" s="29">
        <f>(Q$5/$B$5)*Supuestos!$B$12*Supuestos!$B$13</f>
        <v/>
      </c>
      <c r="R9" s="29">
        <f>(R$5/$B$5)*Supuestos!$B$12*Supuestos!$B$13</f>
        <v/>
      </c>
      <c r="S9" s="29">
        <f>(S$5/$B$5)*Supuestos!$B$12*Supuestos!$B$13</f>
        <v/>
      </c>
      <c r="T9" s="29">
        <f>(T$5/$B$5)*Supuestos!$B$12*Supuestos!$B$13</f>
        <v/>
      </c>
      <c r="U9" s="29">
        <f>(U$5/$B$5)*Supuestos!$B$12*Supuestos!$B$13</f>
        <v/>
      </c>
      <c r="V9" s="29">
        <f>(V$5/$B$5)*Supuestos!$B$12*Supuestos!$B$13</f>
        <v/>
      </c>
      <c r="W9" s="29">
        <f>(W$5/$B$5)*Supuestos!$B$12*Supuestos!$B$13</f>
        <v/>
      </c>
      <c r="X9" s="29">
        <f>(X$5/$B$5)*Supuestos!$B$12*Supuestos!$B$13</f>
        <v/>
      </c>
      <c r="Y9" s="29">
        <f>(Y$5/$B$5)*Supuestos!$B$12*Supuestos!$B$13</f>
        <v/>
      </c>
      <c r="Z9" s="29">
        <f>(Z$5/$B$5)*Supuestos!$B$12*Supuestos!$B$13</f>
        <v/>
      </c>
    </row>
    <row r="10">
      <c r="A10" s="6" t="inlineStr">
        <is>
          <t>Cobro de saldo (créditos hipotecarios)</t>
        </is>
      </c>
      <c r="B10" s="28">
        <f>SUM(C10:Z10)</f>
        <v/>
      </c>
      <c r="C10" s="29">
        <f>(C$6/$B$6)*Supuestos!$B$12*Supuestos!$B$14</f>
        <v/>
      </c>
      <c r="D10" s="29">
        <f>(D$6/$B$6)*Supuestos!$B$12*Supuestos!$B$14</f>
        <v/>
      </c>
      <c r="E10" s="29">
        <f>(E$6/$B$6)*Supuestos!$B$12*Supuestos!$B$14</f>
        <v/>
      </c>
      <c r="F10" s="29">
        <f>(F$6/$B$6)*Supuestos!$B$12*Supuestos!$B$14</f>
        <v/>
      </c>
      <c r="G10" s="29">
        <f>(G$6/$B$6)*Supuestos!$B$12*Supuestos!$B$14</f>
        <v/>
      </c>
      <c r="H10" s="29">
        <f>(H$6/$B$6)*Supuestos!$B$12*Supuestos!$B$14</f>
        <v/>
      </c>
      <c r="I10" s="29">
        <f>(I$6/$B$6)*Supuestos!$B$12*Supuestos!$B$14</f>
        <v/>
      </c>
      <c r="J10" s="29">
        <f>(J$6/$B$6)*Supuestos!$B$12*Supuestos!$B$14</f>
        <v/>
      </c>
      <c r="K10" s="29">
        <f>(K$6/$B$6)*Supuestos!$B$12*Supuestos!$B$14</f>
        <v/>
      </c>
      <c r="L10" s="29">
        <f>(L$6/$B$6)*Supuestos!$B$12*Supuestos!$B$14</f>
        <v/>
      </c>
      <c r="M10" s="29">
        <f>(M$6/$B$6)*Supuestos!$B$12*Supuestos!$B$14</f>
        <v/>
      </c>
      <c r="N10" s="29">
        <f>(N$6/$B$6)*Supuestos!$B$12*Supuestos!$B$14</f>
        <v/>
      </c>
      <c r="O10" s="29">
        <f>(O$6/$B$6)*Supuestos!$B$12*Supuestos!$B$14</f>
        <v/>
      </c>
      <c r="P10" s="29">
        <f>(P$6/$B$6)*Supuestos!$B$12*Supuestos!$B$14</f>
        <v/>
      </c>
      <c r="Q10" s="29">
        <f>(Q$6/$B$6)*Supuestos!$B$12*Supuestos!$B$14</f>
        <v/>
      </c>
      <c r="R10" s="29">
        <f>(R$6/$B$6)*Supuestos!$B$12*Supuestos!$B$14</f>
        <v/>
      </c>
      <c r="S10" s="29">
        <f>(S$6/$B$6)*Supuestos!$B$12*Supuestos!$B$14</f>
        <v/>
      </c>
      <c r="T10" s="29">
        <f>(T$6/$B$6)*Supuestos!$B$12*Supuestos!$B$14</f>
        <v/>
      </c>
      <c r="U10" s="29">
        <f>(U$6/$B$6)*Supuestos!$B$12*Supuestos!$B$14</f>
        <v/>
      </c>
      <c r="V10" s="29">
        <f>(V$6/$B$6)*Supuestos!$B$12*Supuestos!$B$14</f>
        <v/>
      </c>
      <c r="W10" s="29">
        <f>(W$6/$B$6)*Supuestos!$B$12*Supuestos!$B$14</f>
        <v/>
      </c>
      <c r="X10" s="29">
        <f>(X$6/$B$6)*Supuestos!$B$12*Supuestos!$B$14</f>
        <v/>
      </c>
      <c r="Y10" s="29">
        <f>(Y$6/$B$6)*Supuestos!$B$12*Supuestos!$B$14</f>
        <v/>
      </c>
      <c r="Z10" s="29">
        <f>(Z$6/$B$6)*Supuestos!$B$12*Supuestos!$B$14</f>
        <v/>
      </c>
    </row>
    <row r="11">
      <c r="A11" s="6" t="inlineStr">
        <is>
          <t>Desembolsos de financiamiento</t>
        </is>
      </c>
      <c r="B11" s="28">
        <f>SUM(C11:Z11)</f>
        <v/>
      </c>
      <c r="C11" s="34">
        <f>Cronograma_Valorizado!C$10</f>
        <v/>
      </c>
      <c r="D11" s="34">
        <f>Cronograma_Valorizado!D$10</f>
        <v/>
      </c>
      <c r="E11" s="34">
        <f>Cronograma_Valorizado!E$10</f>
        <v/>
      </c>
      <c r="F11" s="34">
        <f>Cronograma_Valorizado!F$10</f>
        <v/>
      </c>
      <c r="G11" s="34">
        <f>Cronograma_Valorizado!G$10</f>
        <v/>
      </c>
      <c r="H11" s="34">
        <f>Cronograma_Valorizado!H$10</f>
        <v/>
      </c>
      <c r="I11" s="34">
        <f>Cronograma_Valorizado!I$10</f>
        <v/>
      </c>
      <c r="J11" s="34">
        <f>Cronograma_Valorizado!J$10</f>
        <v/>
      </c>
      <c r="K11" s="34">
        <f>Cronograma_Valorizado!K$10</f>
        <v/>
      </c>
      <c r="L11" s="34">
        <f>Cronograma_Valorizado!L$10</f>
        <v/>
      </c>
      <c r="M11" s="34">
        <f>Cronograma_Valorizado!M$10</f>
        <v/>
      </c>
      <c r="N11" s="34">
        <f>Cronograma_Valorizado!N$10</f>
        <v/>
      </c>
      <c r="O11" s="34">
        <f>Cronograma_Valorizado!O$10</f>
        <v/>
      </c>
      <c r="P11" s="34">
        <f>Cronograma_Valorizado!P$10</f>
        <v/>
      </c>
      <c r="Q11" s="34">
        <f>Cronograma_Valorizado!Q$10</f>
        <v/>
      </c>
      <c r="R11" s="34">
        <f>Cronograma_Valorizado!R$10</f>
        <v/>
      </c>
      <c r="S11" s="34">
        <f>Cronograma_Valorizado!S$10</f>
        <v/>
      </c>
      <c r="T11" s="34">
        <f>Cronograma_Valorizado!T$10</f>
        <v/>
      </c>
      <c r="U11" s="34">
        <f>Cronograma_Valorizado!U$10</f>
        <v/>
      </c>
      <c r="V11" s="34">
        <f>Cronograma_Valorizado!V$10</f>
        <v/>
      </c>
      <c r="W11" s="34">
        <f>Cronograma_Valorizado!W$10</f>
        <v/>
      </c>
      <c r="X11" s="34">
        <f>Cronograma_Valorizado!X$10</f>
        <v/>
      </c>
      <c r="Y11" s="34">
        <f>Cronograma_Valorizado!Y$10</f>
        <v/>
      </c>
      <c r="Z11" s="34">
        <f>Cronograma_Valorizado!Z$10</f>
        <v/>
      </c>
    </row>
    <row r="12">
      <c r="A12" s="3" t="inlineStr">
        <is>
          <t>Total ingresos</t>
        </is>
      </c>
      <c r="B12" s="31">
        <f>SUM(C12:Z12)</f>
        <v/>
      </c>
      <c r="C12" s="31">
        <f>SUM(C9:C11)</f>
        <v/>
      </c>
      <c r="D12" s="31">
        <f>SUM(D9:D11)</f>
        <v/>
      </c>
      <c r="E12" s="31">
        <f>SUM(E9:E11)</f>
        <v/>
      </c>
      <c r="F12" s="31">
        <f>SUM(F9:F11)</f>
        <v/>
      </c>
      <c r="G12" s="31">
        <f>SUM(G9:G11)</f>
        <v/>
      </c>
      <c r="H12" s="31">
        <f>SUM(H9:H11)</f>
        <v/>
      </c>
      <c r="I12" s="31">
        <f>SUM(I9:I11)</f>
        <v/>
      </c>
      <c r="J12" s="31">
        <f>SUM(J9:J11)</f>
        <v/>
      </c>
      <c r="K12" s="31">
        <f>SUM(K9:K11)</f>
        <v/>
      </c>
      <c r="L12" s="31">
        <f>SUM(L9:L11)</f>
        <v/>
      </c>
      <c r="M12" s="31">
        <f>SUM(M9:M11)</f>
        <v/>
      </c>
      <c r="N12" s="31">
        <f>SUM(N9:N11)</f>
        <v/>
      </c>
      <c r="O12" s="31">
        <f>SUM(O9:O11)</f>
        <v/>
      </c>
      <c r="P12" s="31">
        <f>SUM(P9:P11)</f>
        <v/>
      </c>
      <c r="Q12" s="31">
        <f>SUM(Q9:Q11)</f>
        <v/>
      </c>
      <c r="R12" s="31">
        <f>SUM(R9:R11)</f>
        <v/>
      </c>
      <c r="S12" s="31">
        <f>SUM(S9:S11)</f>
        <v/>
      </c>
      <c r="T12" s="31">
        <f>SUM(T9:T11)</f>
        <v/>
      </c>
      <c r="U12" s="31">
        <f>SUM(U9:U11)</f>
        <v/>
      </c>
      <c r="V12" s="31">
        <f>SUM(V9:V11)</f>
        <v/>
      </c>
      <c r="W12" s="31">
        <f>SUM(W9:W11)</f>
        <v/>
      </c>
      <c r="X12" s="31">
        <f>SUM(X9:X11)</f>
        <v/>
      </c>
      <c r="Y12" s="31">
        <f>SUM(Y9:Y11)</f>
        <v/>
      </c>
      <c r="Z12" s="31">
        <f>SUM(Z9:Z11)</f>
        <v/>
      </c>
    </row>
    <row r="14">
      <c r="A14" s="9" t="inlineStr">
        <is>
          <t>B. EGRESOS OPERATIVOS</t>
        </is>
      </c>
    </row>
    <row r="15">
      <c r="A15" s="6" t="inlineStr">
        <is>
          <t>Compra de terreno</t>
        </is>
      </c>
      <c r="B15" s="28">
        <f>SUM(C15:Z15)</f>
        <v/>
      </c>
      <c r="C15" s="29">
        <f>-Supuestos!$B$17</f>
        <v/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</row>
    <row r="16">
      <c r="A16" s="6" t="inlineStr">
        <is>
          <t>Costo de construcción (valorización de obra)</t>
        </is>
      </c>
      <c r="B16" s="28">
        <f>SUM(C16:Z16)</f>
        <v/>
      </c>
      <c r="C16" s="34">
        <f>-Cronograma_Valorizado!C$6</f>
        <v/>
      </c>
      <c r="D16" s="34">
        <f>-Cronograma_Valorizado!D$6</f>
        <v/>
      </c>
      <c r="E16" s="34">
        <f>-Cronograma_Valorizado!E$6</f>
        <v/>
      </c>
      <c r="F16" s="34">
        <f>-Cronograma_Valorizado!F$6</f>
        <v/>
      </c>
      <c r="G16" s="34">
        <f>-Cronograma_Valorizado!G$6</f>
        <v/>
      </c>
      <c r="H16" s="34">
        <f>-Cronograma_Valorizado!H$6</f>
        <v/>
      </c>
      <c r="I16" s="34">
        <f>-Cronograma_Valorizado!I$6</f>
        <v/>
      </c>
      <c r="J16" s="34">
        <f>-Cronograma_Valorizado!J$6</f>
        <v/>
      </c>
      <c r="K16" s="34">
        <f>-Cronograma_Valorizado!K$6</f>
        <v/>
      </c>
      <c r="L16" s="34">
        <f>-Cronograma_Valorizado!L$6</f>
        <v/>
      </c>
      <c r="M16" s="34">
        <f>-Cronograma_Valorizado!M$6</f>
        <v/>
      </c>
      <c r="N16" s="34">
        <f>-Cronograma_Valorizado!N$6</f>
        <v/>
      </c>
      <c r="O16" s="34">
        <f>-Cronograma_Valorizado!O$6</f>
        <v/>
      </c>
      <c r="P16" s="34">
        <f>-Cronograma_Valorizado!P$6</f>
        <v/>
      </c>
      <c r="Q16" s="34">
        <f>-Cronograma_Valorizado!Q$6</f>
        <v/>
      </c>
      <c r="R16" s="34">
        <f>-Cronograma_Valorizado!R$6</f>
        <v/>
      </c>
      <c r="S16" s="34">
        <f>-Cronograma_Valorizado!S$6</f>
        <v/>
      </c>
      <c r="T16" s="34">
        <f>-Cronograma_Valorizado!T$6</f>
        <v/>
      </c>
      <c r="U16" s="34">
        <f>-Cronograma_Valorizado!U$6</f>
        <v/>
      </c>
      <c r="V16" s="34">
        <f>-Cronograma_Valorizado!V$6</f>
        <v/>
      </c>
      <c r="W16" s="34">
        <f>-Cronograma_Valorizado!W$6</f>
        <v/>
      </c>
      <c r="X16" s="34">
        <f>-Cronograma_Valorizado!X$6</f>
        <v/>
      </c>
      <c r="Y16" s="34">
        <f>-Cronograma_Valorizado!Y$6</f>
        <v/>
      </c>
      <c r="Z16" s="34">
        <f>-Cronograma_Valorizado!Z$6</f>
        <v/>
      </c>
    </row>
    <row r="17">
      <c r="A17" s="6" t="inlineStr">
        <is>
          <t>Licencias, proyectos y estudios</t>
        </is>
      </c>
      <c r="B17" s="28">
        <f>SUM(C17:Z17)</f>
        <v/>
      </c>
      <c r="C17" s="29">
        <f>-Supuestos!$B$21/3</f>
        <v/>
      </c>
      <c r="D17" s="29">
        <f>-Supuestos!$B$21/3</f>
        <v/>
      </c>
      <c r="E17" s="29">
        <f>-Supuestos!$B$21/3</f>
        <v/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</row>
    <row r="18">
      <c r="A18" s="6" t="inlineStr">
        <is>
          <t>Gastos de comercialización</t>
        </is>
      </c>
      <c r="B18" s="28">
        <f>SUM(C18:Z18)</f>
        <v/>
      </c>
      <c r="C18" s="29" t="n">
        <v>0</v>
      </c>
      <c r="D18" s="29" t="n">
        <v>0</v>
      </c>
      <c r="E18" s="29">
        <f>-Supuestos!$B$23/20</f>
        <v/>
      </c>
      <c r="F18" s="29">
        <f>-Supuestos!$B$23/20</f>
        <v/>
      </c>
      <c r="G18" s="29">
        <f>-Supuestos!$B$23/20</f>
        <v/>
      </c>
      <c r="H18" s="29">
        <f>-Supuestos!$B$23/20</f>
        <v/>
      </c>
      <c r="I18" s="29">
        <f>-Supuestos!$B$23/20</f>
        <v/>
      </c>
      <c r="J18" s="29">
        <f>-Supuestos!$B$23/20</f>
        <v/>
      </c>
      <c r="K18" s="29">
        <f>-Supuestos!$B$23/20</f>
        <v/>
      </c>
      <c r="L18" s="29">
        <f>-Supuestos!$B$23/20</f>
        <v/>
      </c>
      <c r="M18" s="29">
        <f>-Supuestos!$B$23/20</f>
        <v/>
      </c>
      <c r="N18" s="29">
        <f>-Supuestos!$B$23/20</f>
        <v/>
      </c>
      <c r="O18" s="29">
        <f>-Supuestos!$B$23/20</f>
        <v/>
      </c>
      <c r="P18" s="29">
        <f>-Supuestos!$B$23/20</f>
        <v/>
      </c>
      <c r="Q18" s="29">
        <f>-Supuestos!$B$23/20</f>
        <v/>
      </c>
      <c r="R18" s="29">
        <f>-Supuestos!$B$23/20</f>
        <v/>
      </c>
      <c r="S18" s="29">
        <f>-Supuestos!$B$23/20</f>
        <v/>
      </c>
      <c r="T18" s="29">
        <f>-Supuestos!$B$23/20</f>
        <v/>
      </c>
      <c r="U18" s="29">
        <f>-Supuestos!$B$23/20</f>
        <v/>
      </c>
      <c r="V18" s="29">
        <f>-Supuestos!$B$23/20</f>
        <v/>
      </c>
      <c r="W18" s="29">
        <f>-Supuestos!$B$23/20</f>
        <v/>
      </c>
      <c r="X18" s="29">
        <f>-Supuestos!$B$23/20</f>
        <v/>
      </c>
      <c r="Y18" s="29" t="n">
        <v>0</v>
      </c>
      <c r="Z18" s="29" t="n">
        <v>0</v>
      </c>
    </row>
    <row r="19">
      <c r="A19" s="6" t="inlineStr">
        <is>
          <t>Gastos administrativos / gerencia</t>
        </is>
      </c>
      <c r="B19" s="28">
        <f>SUM(C19:Z19)</f>
        <v/>
      </c>
      <c r="C19" s="29">
        <f>-Supuestos!$B$25/24</f>
        <v/>
      </c>
      <c r="D19" s="29">
        <f>-Supuestos!$B$25/24</f>
        <v/>
      </c>
      <c r="E19" s="29">
        <f>-Supuestos!$B$25/24</f>
        <v/>
      </c>
      <c r="F19" s="29">
        <f>-Supuestos!$B$25/24</f>
        <v/>
      </c>
      <c r="G19" s="29">
        <f>-Supuestos!$B$25/24</f>
        <v/>
      </c>
      <c r="H19" s="29">
        <f>-Supuestos!$B$25/24</f>
        <v/>
      </c>
      <c r="I19" s="29">
        <f>-Supuestos!$B$25/24</f>
        <v/>
      </c>
      <c r="J19" s="29">
        <f>-Supuestos!$B$25/24</f>
        <v/>
      </c>
      <c r="K19" s="29">
        <f>-Supuestos!$B$25/24</f>
        <v/>
      </c>
      <c r="L19" s="29">
        <f>-Supuestos!$B$25/24</f>
        <v/>
      </c>
      <c r="M19" s="29">
        <f>-Supuestos!$B$25/24</f>
        <v/>
      </c>
      <c r="N19" s="29">
        <f>-Supuestos!$B$25/24</f>
        <v/>
      </c>
      <c r="O19" s="29">
        <f>-Supuestos!$B$25/24</f>
        <v/>
      </c>
      <c r="P19" s="29">
        <f>-Supuestos!$B$25/24</f>
        <v/>
      </c>
      <c r="Q19" s="29">
        <f>-Supuestos!$B$25/24</f>
        <v/>
      </c>
      <c r="R19" s="29">
        <f>-Supuestos!$B$25/24</f>
        <v/>
      </c>
      <c r="S19" s="29">
        <f>-Supuestos!$B$25/24</f>
        <v/>
      </c>
      <c r="T19" s="29">
        <f>-Supuestos!$B$25/24</f>
        <v/>
      </c>
      <c r="U19" s="29">
        <f>-Supuestos!$B$25/24</f>
        <v/>
      </c>
      <c r="V19" s="29">
        <f>-Supuestos!$B$25/24</f>
        <v/>
      </c>
      <c r="W19" s="29">
        <f>-Supuestos!$B$25/24</f>
        <v/>
      </c>
      <c r="X19" s="29">
        <f>-Supuestos!$B$25/24</f>
        <v/>
      </c>
      <c r="Y19" s="29">
        <f>-Supuestos!$B$25/24</f>
        <v/>
      </c>
      <c r="Z19" s="29">
        <f>-Supuestos!$B$25/24</f>
        <v/>
      </c>
    </row>
    <row r="20">
      <c r="A20" s="3" t="inlineStr">
        <is>
          <t>Total egresos operativos</t>
        </is>
      </c>
      <c r="B20" s="31">
        <f>SUM(C20:Z20)</f>
        <v/>
      </c>
      <c r="C20" s="31">
        <f>SUM(C15:C19)</f>
        <v/>
      </c>
      <c r="D20" s="31">
        <f>SUM(D15:D19)</f>
        <v/>
      </c>
      <c r="E20" s="31">
        <f>SUM(E15:E19)</f>
        <v/>
      </c>
      <c r="F20" s="31">
        <f>SUM(F15:F19)</f>
        <v/>
      </c>
      <c r="G20" s="31">
        <f>SUM(G15:G19)</f>
        <v/>
      </c>
      <c r="H20" s="31">
        <f>SUM(H15:H19)</f>
        <v/>
      </c>
      <c r="I20" s="31">
        <f>SUM(I15:I19)</f>
        <v/>
      </c>
      <c r="J20" s="31">
        <f>SUM(J15:J19)</f>
        <v/>
      </c>
      <c r="K20" s="31">
        <f>SUM(K15:K19)</f>
        <v/>
      </c>
      <c r="L20" s="31">
        <f>SUM(L15:L19)</f>
        <v/>
      </c>
      <c r="M20" s="31">
        <f>SUM(M15:M19)</f>
        <v/>
      </c>
      <c r="N20" s="31">
        <f>SUM(N15:N19)</f>
        <v/>
      </c>
      <c r="O20" s="31">
        <f>SUM(O15:O19)</f>
        <v/>
      </c>
      <c r="P20" s="31">
        <f>SUM(P15:P19)</f>
        <v/>
      </c>
      <c r="Q20" s="31">
        <f>SUM(Q15:Q19)</f>
        <v/>
      </c>
      <c r="R20" s="31">
        <f>SUM(R15:R19)</f>
        <v/>
      </c>
      <c r="S20" s="31">
        <f>SUM(S15:S19)</f>
        <v/>
      </c>
      <c r="T20" s="31">
        <f>SUM(T15:T19)</f>
        <v/>
      </c>
      <c r="U20" s="31">
        <f>SUM(U15:U19)</f>
        <v/>
      </c>
      <c r="V20" s="31">
        <f>SUM(V15:V19)</f>
        <v/>
      </c>
      <c r="W20" s="31">
        <f>SUM(W15:W19)</f>
        <v/>
      </c>
      <c r="X20" s="31">
        <f>SUM(X15:X19)</f>
        <v/>
      </c>
      <c r="Y20" s="31">
        <f>SUM(Y15:Y19)</f>
        <v/>
      </c>
      <c r="Z20" s="31">
        <f>SUM(Z15:Z19)</f>
        <v/>
      </c>
    </row>
    <row r="22">
      <c r="A22" s="9" t="inlineStr">
        <is>
          <t>C. SERVICIO DE LA DEUDA / FINANCIAMIENTO</t>
        </is>
      </c>
    </row>
    <row r="23">
      <c r="A23" s="6" t="inlineStr">
        <is>
          <t>Saldo inicial de la línea</t>
        </is>
      </c>
      <c r="C23" s="29" t="n">
        <v>0</v>
      </c>
      <c r="D23" s="29">
        <f>C27</f>
        <v/>
      </c>
      <c r="E23" s="29">
        <f>D27</f>
        <v/>
      </c>
      <c r="F23" s="29">
        <f>E27</f>
        <v/>
      </c>
      <c r="G23" s="29">
        <f>F27</f>
        <v/>
      </c>
      <c r="H23" s="29">
        <f>G27</f>
        <v/>
      </c>
      <c r="I23" s="29">
        <f>H27</f>
        <v/>
      </c>
      <c r="J23" s="29">
        <f>I27</f>
        <v/>
      </c>
      <c r="K23" s="29">
        <f>J27</f>
        <v/>
      </c>
      <c r="L23" s="29">
        <f>K27</f>
        <v/>
      </c>
      <c r="M23" s="29">
        <f>L27</f>
        <v/>
      </c>
      <c r="N23" s="29">
        <f>M27</f>
        <v/>
      </c>
      <c r="O23" s="29">
        <f>N27</f>
        <v/>
      </c>
      <c r="P23" s="29">
        <f>O27</f>
        <v/>
      </c>
      <c r="Q23" s="29">
        <f>P27</f>
        <v/>
      </c>
      <c r="R23" s="29">
        <f>Q27</f>
        <v/>
      </c>
      <c r="S23" s="29">
        <f>R27</f>
        <v/>
      </c>
      <c r="T23" s="29">
        <f>S27</f>
        <v/>
      </c>
      <c r="U23" s="29">
        <f>T27</f>
        <v/>
      </c>
      <c r="V23" s="29">
        <f>U27</f>
        <v/>
      </c>
      <c r="W23" s="29">
        <f>V27</f>
        <v/>
      </c>
      <c r="X23" s="29">
        <f>W27</f>
        <v/>
      </c>
      <c r="Y23" s="29">
        <f>X27</f>
        <v/>
      </c>
      <c r="Z23" s="29">
        <f>Y27</f>
        <v/>
      </c>
    </row>
    <row r="24">
      <c r="A24" s="6" t="inlineStr">
        <is>
          <t>(+) Desembolso del mes</t>
        </is>
      </c>
      <c r="B24" s="28">
        <f>SUM(C24:Z24)</f>
        <v/>
      </c>
      <c r="C24" s="34">
        <f>Cronograma_Valorizado!C$10</f>
        <v/>
      </c>
      <c r="D24" s="34">
        <f>Cronograma_Valorizado!D$10</f>
        <v/>
      </c>
      <c r="E24" s="34">
        <f>Cronograma_Valorizado!E$10</f>
        <v/>
      </c>
      <c r="F24" s="34">
        <f>Cronograma_Valorizado!F$10</f>
        <v/>
      </c>
      <c r="G24" s="34">
        <f>Cronograma_Valorizado!G$10</f>
        <v/>
      </c>
      <c r="H24" s="34">
        <f>Cronograma_Valorizado!H$10</f>
        <v/>
      </c>
      <c r="I24" s="34">
        <f>Cronograma_Valorizado!I$10</f>
        <v/>
      </c>
      <c r="J24" s="34">
        <f>Cronograma_Valorizado!J$10</f>
        <v/>
      </c>
      <c r="K24" s="34">
        <f>Cronograma_Valorizado!K$10</f>
        <v/>
      </c>
      <c r="L24" s="34">
        <f>Cronograma_Valorizado!L$10</f>
        <v/>
      </c>
      <c r="M24" s="34">
        <f>Cronograma_Valorizado!M$10</f>
        <v/>
      </c>
      <c r="N24" s="34">
        <f>Cronograma_Valorizado!N$10</f>
        <v/>
      </c>
      <c r="O24" s="34">
        <f>Cronograma_Valorizado!O$10</f>
        <v/>
      </c>
      <c r="P24" s="34">
        <f>Cronograma_Valorizado!P$10</f>
        <v/>
      </c>
      <c r="Q24" s="34">
        <f>Cronograma_Valorizado!Q$10</f>
        <v/>
      </c>
      <c r="R24" s="34">
        <f>Cronograma_Valorizado!R$10</f>
        <v/>
      </c>
      <c r="S24" s="34">
        <f>Cronograma_Valorizado!S$10</f>
        <v/>
      </c>
      <c r="T24" s="34">
        <f>Cronograma_Valorizado!T$10</f>
        <v/>
      </c>
      <c r="U24" s="34">
        <f>Cronograma_Valorizado!U$10</f>
        <v/>
      </c>
      <c r="V24" s="34">
        <f>Cronograma_Valorizado!V$10</f>
        <v/>
      </c>
      <c r="W24" s="34">
        <f>Cronograma_Valorizado!W$10</f>
        <v/>
      </c>
      <c r="X24" s="34">
        <f>Cronograma_Valorizado!X$10</f>
        <v/>
      </c>
      <c r="Y24" s="34">
        <f>Cronograma_Valorizado!Y$10</f>
        <v/>
      </c>
      <c r="Z24" s="34">
        <f>Cronograma_Valorizado!Z$10</f>
        <v/>
      </c>
    </row>
    <row r="25">
      <c r="A25" s="6" t="inlineStr">
        <is>
          <t>(-) Amortización del mes</t>
        </is>
      </c>
      <c r="B25" s="28">
        <f>SUM(C25:Z25)</f>
        <v/>
      </c>
      <c r="C25" s="29">
        <f>-(C$6/$B$6)*Cronograma_Valorizado!$B$10</f>
        <v/>
      </c>
      <c r="D25" s="29">
        <f>-(D$6/$B$6)*Cronograma_Valorizado!$B$10</f>
        <v/>
      </c>
      <c r="E25" s="29">
        <f>-(E$6/$B$6)*Cronograma_Valorizado!$B$10</f>
        <v/>
      </c>
      <c r="F25" s="29">
        <f>-(F$6/$B$6)*Cronograma_Valorizado!$B$10</f>
        <v/>
      </c>
      <c r="G25" s="29">
        <f>-(G$6/$B$6)*Cronograma_Valorizado!$B$10</f>
        <v/>
      </c>
      <c r="H25" s="29">
        <f>-(H$6/$B$6)*Cronograma_Valorizado!$B$10</f>
        <v/>
      </c>
      <c r="I25" s="29">
        <f>-(I$6/$B$6)*Cronograma_Valorizado!$B$10</f>
        <v/>
      </c>
      <c r="J25" s="29">
        <f>-(J$6/$B$6)*Cronograma_Valorizado!$B$10</f>
        <v/>
      </c>
      <c r="K25" s="29">
        <f>-(K$6/$B$6)*Cronograma_Valorizado!$B$10</f>
        <v/>
      </c>
      <c r="L25" s="29">
        <f>-(L$6/$B$6)*Cronograma_Valorizado!$B$10</f>
        <v/>
      </c>
      <c r="M25" s="29">
        <f>-(M$6/$B$6)*Cronograma_Valorizado!$B$10</f>
        <v/>
      </c>
      <c r="N25" s="29">
        <f>-(N$6/$B$6)*Cronograma_Valorizado!$B$10</f>
        <v/>
      </c>
      <c r="O25" s="29">
        <f>-(O$6/$B$6)*Cronograma_Valorizado!$B$10</f>
        <v/>
      </c>
      <c r="P25" s="29">
        <f>-(P$6/$B$6)*Cronograma_Valorizado!$B$10</f>
        <v/>
      </c>
      <c r="Q25" s="29">
        <f>-(Q$6/$B$6)*Cronograma_Valorizado!$B$10</f>
        <v/>
      </c>
      <c r="R25" s="29">
        <f>-(R$6/$B$6)*Cronograma_Valorizado!$B$10</f>
        <v/>
      </c>
      <c r="S25" s="29">
        <f>-(S$6/$B$6)*Cronograma_Valorizado!$B$10</f>
        <v/>
      </c>
      <c r="T25" s="29">
        <f>-(T$6/$B$6)*Cronograma_Valorizado!$B$10</f>
        <v/>
      </c>
      <c r="U25" s="29">
        <f>-(U$6/$B$6)*Cronograma_Valorizado!$B$10</f>
        <v/>
      </c>
      <c r="V25" s="29">
        <f>-(V$6/$B$6)*Cronograma_Valorizado!$B$10</f>
        <v/>
      </c>
      <c r="W25" s="29">
        <f>-(W$6/$B$6)*Cronograma_Valorizado!$B$10</f>
        <v/>
      </c>
      <c r="X25" s="29">
        <f>-(X$6/$B$6)*Cronograma_Valorizado!$B$10</f>
        <v/>
      </c>
      <c r="Y25" s="29">
        <f>-(Y$6/$B$6)*Cronograma_Valorizado!$B$10</f>
        <v/>
      </c>
      <c r="Z25" s="29">
        <f>-(Z$6/$B$6)*Cronograma_Valorizado!$B$10</f>
        <v/>
      </c>
    </row>
    <row r="26">
      <c r="A26" s="6" t="inlineStr">
        <is>
          <t>(-) Intereses del mes (gasto financiero)</t>
        </is>
      </c>
      <c r="B26" s="28">
        <f>SUM(C26:Z26)</f>
        <v/>
      </c>
      <c r="C26" s="29">
        <f>-C23*Supuestos!$B$31</f>
        <v/>
      </c>
      <c r="D26" s="29">
        <f>-D23*Supuestos!$B$31</f>
        <v/>
      </c>
      <c r="E26" s="29">
        <f>-E23*Supuestos!$B$31</f>
        <v/>
      </c>
      <c r="F26" s="29">
        <f>-F23*Supuestos!$B$31</f>
        <v/>
      </c>
      <c r="G26" s="29">
        <f>-G23*Supuestos!$B$31</f>
        <v/>
      </c>
      <c r="H26" s="29">
        <f>-H23*Supuestos!$B$31</f>
        <v/>
      </c>
      <c r="I26" s="29">
        <f>-I23*Supuestos!$B$31</f>
        <v/>
      </c>
      <c r="J26" s="29">
        <f>-J23*Supuestos!$B$31</f>
        <v/>
      </c>
      <c r="K26" s="29">
        <f>-K23*Supuestos!$B$31</f>
        <v/>
      </c>
      <c r="L26" s="29">
        <f>-L23*Supuestos!$B$31</f>
        <v/>
      </c>
      <c r="M26" s="29">
        <f>-M23*Supuestos!$B$31</f>
        <v/>
      </c>
      <c r="N26" s="29">
        <f>-N23*Supuestos!$B$31</f>
        <v/>
      </c>
      <c r="O26" s="29">
        <f>-O23*Supuestos!$B$31</f>
        <v/>
      </c>
      <c r="P26" s="29">
        <f>-P23*Supuestos!$B$31</f>
        <v/>
      </c>
      <c r="Q26" s="29">
        <f>-Q23*Supuestos!$B$31</f>
        <v/>
      </c>
      <c r="R26" s="29">
        <f>-R23*Supuestos!$B$31</f>
        <v/>
      </c>
      <c r="S26" s="29">
        <f>-S23*Supuestos!$B$31</f>
        <v/>
      </c>
      <c r="T26" s="29">
        <f>-T23*Supuestos!$B$31</f>
        <v/>
      </c>
      <c r="U26" s="29">
        <f>-U23*Supuestos!$B$31</f>
        <v/>
      </c>
      <c r="V26" s="29">
        <f>-V23*Supuestos!$B$31</f>
        <v/>
      </c>
      <c r="W26" s="29">
        <f>-W23*Supuestos!$B$31</f>
        <v/>
      </c>
      <c r="X26" s="29">
        <f>-X23*Supuestos!$B$31</f>
        <v/>
      </c>
      <c r="Y26" s="29">
        <f>-Y23*Supuestos!$B$31</f>
        <v/>
      </c>
      <c r="Z26" s="29">
        <f>-Z23*Supuestos!$B$31</f>
        <v/>
      </c>
    </row>
    <row r="27">
      <c r="A27" s="35" t="inlineStr">
        <is>
          <t>Saldo final de la línea</t>
        </is>
      </c>
      <c r="C27" s="31">
        <f>C23+C24+C25</f>
        <v/>
      </c>
      <c r="D27" s="31">
        <f>D23+D24+D25</f>
        <v/>
      </c>
      <c r="E27" s="31">
        <f>E23+E24+E25</f>
        <v/>
      </c>
      <c r="F27" s="31">
        <f>F23+F24+F25</f>
        <v/>
      </c>
      <c r="G27" s="31">
        <f>G23+G24+G25</f>
        <v/>
      </c>
      <c r="H27" s="31">
        <f>H23+H24+H25</f>
        <v/>
      </c>
      <c r="I27" s="31">
        <f>I23+I24+I25</f>
        <v/>
      </c>
      <c r="J27" s="31">
        <f>J23+J24+J25</f>
        <v/>
      </c>
      <c r="K27" s="31">
        <f>K23+K24+K25</f>
        <v/>
      </c>
      <c r="L27" s="31">
        <f>L23+L24+L25</f>
        <v/>
      </c>
      <c r="M27" s="31">
        <f>M23+M24+M25</f>
        <v/>
      </c>
      <c r="N27" s="31">
        <f>N23+N24+N25</f>
        <v/>
      </c>
      <c r="O27" s="31">
        <f>O23+O24+O25</f>
        <v/>
      </c>
      <c r="P27" s="31">
        <f>P23+P24+P25</f>
        <v/>
      </c>
      <c r="Q27" s="31">
        <f>Q23+Q24+Q25</f>
        <v/>
      </c>
      <c r="R27" s="31">
        <f>R23+R24+R25</f>
        <v/>
      </c>
      <c r="S27" s="31">
        <f>S23+S24+S25</f>
        <v/>
      </c>
      <c r="T27" s="31">
        <f>T23+T24+T25</f>
        <v/>
      </c>
      <c r="U27" s="31">
        <f>U23+U24+U25</f>
        <v/>
      </c>
      <c r="V27" s="31">
        <f>V23+V24+V25</f>
        <v/>
      </c>
      <c r="W27" s="31">
        <f>W23+W24+W25</f>
        <v/>
      </c>
      <c r="X27" s="31">
        <f>X23+X24+X25</f>
        <v/>
      </c>
      <c r="Y27" s="31">
        <f>Y23+Y24+Y25</f>
        <v/>
      </c>
      <c r="Z27" s="31">
        <f>Z23+Z24+Z25</f>
        <v/>
      </c>
    </row>
    <row r="29">
      <c r="A29" s="9" t="inlineStr">
        <is>
          <t>D. FLUJOS DE CAJA</t>
        </is>
      </c>
    </row>
    <row r="30">
      <c r="A30" s="3" t="inlineStr">
        <is>
          <t>Flujo económico del mes (sin financiamiento)</t>
        </is>
      </c>
      <c r="B30" s="31">
        <f>SUM(C30:Z30)</f>
        <v/>
      </c>
      <c r="C30" s="31">
        <f>C9+C10+C20</f>
        <v/>
      </c>
      <c r="D30" s="31">
        <f>D9+D10+D20</f>
        <v/>
      </c>
      <c r="E30" s="31">
        <f>E9+E10+E20</f>
        <v/>
      </c>
      <c r="F30" s="31">
        <f>F9+F10+F20</f>
        <v/>
      </c>
      <c r="G30" s="31">
        <f>G9+G10+G20</f>
        <v/>
      </c>
      <c r="H30" s="31">
        <f>H9+H10+H20</f>
        <v/>
      </c>
      <c r="I30" s="31">
        <f>I9+I10+I20</f>
        <v/>
      </c>
      <c r="J30" s="31">
        <f>J9+J10+J20</f>
        <v/>
      </c>
      <c r="K30" s="31">
        <f>K9+K10+K20</f>
        <v/>
      </c>
      <c r="L30" s="31">
        <f>L9+L10+L20</f>
        <v/>
      </c>
      <c r="M30" s="31">
        <f>M9+M10+M20</f>
        <v/>
      </c>
      <c r="N30" s="31">
        <f>N9+N10+N20</f>
        <v/>
      </c>
      <c r="O30" s="31">
        <f>O9+O10+O20</f>
        <v/>
      </c>
      <c r="P30" s="31">
        <f>P9+P10+P20</f>
        <v/>
      </c>
      <c r="Q30" s="31">
        <f>Q9+Q10+Q20</f>
        <v/>
      </c>
      <c r="R30" s="31">
        <f>R9+R10+R20</f>
        <v/>
      </c>
      <c r="S30" s="31">
        <f>S9+S10+S20</f>
        <v/>
      </c>
      <c r="T30" s="31">
        <f>T9+T10+T20</f>
        <v/>
      </c>
      <c r="U30" s="31">
        <f>U9+U10+U20</f>
        <v/>
      </c>
      <c r="V30" s="31">
        <f>V9+V10+V20</f>
        <v/>
      </c>
      <c r="W30" s="31">
        <f>W9+W10+W20</f>
        <v/>
      </c>
      <c r="X30" s="31">
        <f>X9+X10+X20</f>
        <v/>
      </c>
      <c r="Y30" s="31">
        <f>Y9+Y10+Y20</f>
        <v/>
      </c>
      <c r="Z30" s="31">
        <f>Z9+Z10+Z20</f>
        <v/>
      </c>
    </row>
    <row r="31">
      <c r="A31" s="6" t="inlineStr">
        <is>
          <t>Flujo económico acumulado</t>
        </is>
      </c>
      <c r="C31" s="29">
        <f>C30</f>
        <v/>
      </c>
      <c r="D31" s="29">
        <f>C31+D30</f>
        <v/>
      </c>
      <c r="E31" s="29">
        <f>D31+E30</f>
        <v/>
      </c>
      <c r="F31" s="29">
        <f>E31+F30</f>
        <v/>
      </c>
      <c r="G31" s="29">
        <f>F31+G30</f>
        <v/>
      </c>
      <c r="H31" s="29">
        <f>G31+H30</f>
        <v/>
      </c>
      <c r="I31" s="29">
        <f>H31+I30</f>
        <v/>
      </c>
      <c r="J31" s="29">
        <f>I31+J30</f>
        <v/>
      </c>
      <c r="K31" s="29">
        <f>J31+K30</f>
        <v/>
      </c>
      <c r="L31" s="29">
        <f>K31+L30</f>
        <v/>
      </c>
      <c r="M31" s="29">
        <f>L31+M30</f>
        <v/>
      </c>
      <c r="N31" s="29">
        <f>M31+N30</f>
        <v/>
      </c>
      <c r="O31" s="29">
        <f>N31+O30</f>
        <v/>
      </c>
      <c r="P31" s="29">
        <f>O31+P30</f>
        <v/>
      </c>
      <c r="Q31" s="29">
        <f>P31+Q30</f>
        <v/>
      </c>
      <c r="R31" s="29">
        <f>Q31+R30</f>
        <v/>
      </c>
      <c r="S31" s="29">
        <f>R31+S30</f>
        <v/>
      </c>
      <c r="T31" s="29">
        <f>S31+T30</f>
        <v/>
      </c>
      <c r="U31" s="29">
        <f>T31+U30</f>
        <v/>
      </c>
      <c r="V31" s="29">
        <f>U31+V30</f>
        <v/>
      </c>
      <c r="W31" s="29">
        <f>V31+W30</f>
        <v/>
      </c>
      <c r="X31" s="29">
        <f>W31+X30</f>
        <v/>
      </c>
      <c r="Y31" s="29">
        <f>X31+Y30</f>
        <v/>
      </c>
      <c r="Z31" s="29">
        <f>Y31+Z30</f>
        <v/>
      </c>
    </row>
    <row r="32">
      <c r="A32" s="3" t="inlineStr">
        <is>
          <t>Flujo financiero del mes (con financiamiento)</t>
        </is>
      </c>
      <c r="B32" s="31">
        <f>SUM(C32:Z32)</f>
        <v/>
      </c>
      <c r="C32" s="31">
        <f>C30+C24+C25+C26</f>
        <v/>
      </c>
      <c r="D32" s="31">
        <f>D30+D24+D25+D26</f>
        <v/>
      </c>
      <c r="E32" s="31">
        <f>E30+E24+E25+E26</f>
        <v/>
      </c>
      <c r="F32" s="31">
        <f>F30+F24+F25+F26</f>
        <v/>
      </c>
      <c r="G32" s="31">
        <f>G30+G24+G25+G26</f>
        <v/>
      </c>
      <c r="H32" s="31">
        <f>H30+H24+H25+H26</f>
        <v/>
      </c>
      <c r="I32" s="31">
        <f>I30+I24+I25+I26</f>
        <v/>
      </c>
      <c r="J32" s="31">
        <f>J30+J24+J25+J26</f>
        <v/>
      </c>
      <c r="K32" s="31">
        <f>K30+K24+K25+K26</f>
        <v/>
      </c>
      <c r="L32" s="31">
        <f>L30+L24+L25+L26</f>
        <v/>
      </c>
      <c r="M32" s="31">
        <f>M30+M24+M25+M26</f>
        <v/>
      </c>
      <c r="N32" s="31">
        <f>N30+N24+N25+N26</f>
        <v/>
      </c>
      <c r="O32" s="31">
        <f>O30+O24+O25+O26</f>
        <v/>
      </c>
      <c r="P32" s="31">
        <f>P30+P24+P25+P26</f>
        <v/>
      </c>
      <c r="Q32" s="31">
        <f>Q30+Q24+Q25+Q26</f>
        <v/>
      </c>
      <c r="R32" s="31">
        <f>R30+R24+R25+R26</f>
        <v/>
      </c>
      <c r="S32" s="31">
        <f>S30+S24+S25+S26</f>
        <v/>
      </c>
      <c r="T32" s="31">
        <f>T30+T24+T25+T26</f>
        <v/>
      </c>
      <c r="U32" s="31">
        <f>U30+U24+U25+U26</f>
        <v/>
      </c>
      <c r="V32" s="31">
        <f>V30+V24+V25+V26</f>
        <v/>
      </c>
      <c r="W32" s="31">
        <f>W30+W24+W25+W26</f>
        <v/>
      </c>
      <c r="X32" s="31">
        <f>X30+X24+X25+X26</f>
        <v/>
      </c>
      <c r="Y32" s="31">
        <f>Y30+Y24+Y25+Y26</f>
        <v/>
      </c>
      <c r="Z32" s="31">
        <f>Z30+Z24+Z25+Z26</f>
        <v/>
      </c>
    </row>
    <row r="33">
      <c r="A33" s="3" t="inlineStr">
        <is>
          <t>Flujo financiero acumulado (caja del proyecto)</t>
        </is>
      </c>
      <c r="C33" s="31">
        <f>C32</f>
        <v/>
      </c>
      <c r="D33" s="31">
        <f>C33+D32</f>
        <v/>
      </c>
      <c r="E33" s="31">
        <f>D33+E32</f>
        <v/>
      </c>
      <c r="F33" s="31">
        <f>E33+F32</f>
        <v/>
      </c>
      <c r="G33" s="31">
        <f>F33+G32</f>
        <v/>
      </c>
      <c r="H33" s="31">
        <f>G33+H32</f>
        <v/>
      </c>
      <c r="I33" s="31">
        <f>H33+I32</f>
        <v/>
      </c>
      <c r="J33" s="31">
        <f>I33+J32</f>
        <v/>
      </c>
      <c r="K33" s="31">
        <f>J33+K32</f>
        <v/>
      </c>
      <c r="L33" s="31">
        <f>K33+L32</f>
        <v/>
      </c>
      <c r="M33" s="31">
        <f>L33+M32</f>
        <v/>
      </c>
      <c r="N33" s="31">
        <f>M33+N32</f>
        <v/>
      </c>
      <c r="O33" s="31">
        <f>N33+O32</f>
        <v/>
      </c>
      <c r="P33" s="31">
        <f>O33+P32</f>
        <v/>
      </c>
      <c r="Q33" s="31">
        <f>P33+Q32</f>
        <v/>
      </c>
      <c r="R33" s="31">
        <f>Q33+R32</f>
        <v/>
      </c>
      <c r="S33" s="31">
        <f>R33+S32</f>
        <v/>
      </c>
      <c r="T33" s="31">
        <f>S33+T32</f>
        <v/>
      </c>
      <c r="U33" s="31">
        <f>T33+U32</f>
        <v/>
      </c>
      <c r="V33" s="31">
        <f>U33+V32</f>
        <v/>
      </c>
      <c r="W33" s="31">
        <f>V33+W32</f>
        <v/>
      </c>
      <c r="X33" s="31">
        <f>W33+X32</f>
        <v/>
      </c>
      <c r="Y33" s="31">
        <f>X33+Y32</f>
        <v/>
      </c>
      <c r="Z33" s="31">
        <f>Y33+Z32</f>
        <v/>
      </c>
    </row>
  </sheetData>
  <mergeCells count="6">
    <mergeCell ref="A14:Z14"/>
    <mergeCell ref="A1:Z1"/>
    <mergeCell ref="A8:Z8"/>
    <mergeCell ref="A22:Z22"/>
    <mergeCell ref="A4:Z4"/>
    <mergeCell ref="A29:Z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</cols>
  <sheetData>
    <row r="1" ht="26" customHeight="1">
      <c r="A1" s="8" t="inlineStr">
        <is>
          <t>ESTADO DE RESULTADOS PROYECTADO DEL PROYECTO</t>
        </is>
      </c>
    </row>
    <row r="3">
      <c r="A3" s="9" t="inlineStr">
        <is>
          <t>INGRESOS</t>
        </is>
      </c>
    </row>
    <row r="4">
      <c r="A4" s="3" t="inlineStr">
        <is>
          <t>Ventas totales del proyecto</t>
        </is>
      </c>
      <c r="B4" s="36">
        <f>Supuestos!$B$12</f>
        <v/>
      </c>
    </row>
    <row r="6">
      <c r="A6" s="9" t="inlineStr">
        <is>
          <t>COSTO DE VENTAS</t>
        </is>
      </c>
    </row>
    <row r="7">
      <c r="A7" s="6" t="inlineStr">
        <is>
          <t>(-) Costo del terreno</t>
        </is>
      </c>
      <c r="B7" s="15">
        <f>-Supuestos!$B$17</f>
        <v/>
      </c>
    </row>
    <row r="8">
      <c r="A8" s="6" t="inlineStr">
        <is>
          <t>(-) Costo de construcción</t>
        </is>
      </c>
      <c r="B8" s="15">
        <f>-Supuestos!$B$18</f>
        <v/>
      </c>
    </row>
    <row r="9">
      <c r="A9" s="6" t="inlineStr">
        <is>
          <t>(-) Licencias, proyectos y estudios</t>
        </is>
      </c>
      <c r="B9" s="15">
        <f>-Supuestos!$B$21</f>
        <v/>
      </c>
    </row>
    <row r="10">
      <c r="A10" s="35" t="inlineStr">
        <is>
          <t>UTILIDAD BRUTA</t>
        </is>
      </c>
      <c r="B10" s="37">
        <f>B4+B7+B8+B9</f>
        <v/>
      </c>
    </row>
    <row r="11">
      <c r="A11" s="6" t="inlineStr">
        <is>
          <t>Margen bruto</t>
        </is>
      </c>
      <c r="B11" s="17">
        <f>B10/B4</f>
        <v/>
      </c>
    </row>
    <row r="13">
      <c r="A13" s="9" t="inlineStr">
        <is>
          <t>GASTOS OPERATIVOS</t>
        </is>
      </c>
    </row>
    <row r="14">
      <c r="A14" s="6" t="inlineStr">
        <is>
          <t>(-) Gastos de comercialización</t>
        </is>
      </c>
      <c r="B14" s="15">
        <f>-Supuestos!$B$23</f>
        <v/>
      </c>
    </row>
    <row r="15">
      <c r="A15" s="6" t="inlineStr">
        <is>
          <t>(-) Gastos administrativos / gerencia</t>
        </is>
      </c>
      <c r="B15" s="15">
        <f>-Supuestos!$B$25</f>
        <v/>
      </c>
    </row>
    <row r="16">
      <c r="A16" s="35" t="inlineStr">
        <is>
          <t>UTILIDAD OPERATIVA</t>
        </is>
      </c>
      <c r="B16" s="37">
        <f>B10+B14+B15</f>
        <v/>
      </c>
    </row>
    <row r="18">
      <c r="A18" s="9" t="inlineStr">
        <is>
          <t>RESULTADO FINANCIERO E IMPUESTOS</t>
        </is>
      </c>
    </row>
    <row r="19">
      <c r="A19" s="6" t="inlineStr">
        <is>
          <t>(-) Gastos financieros (intereses de la línea)</t>
        </is>
      </c>
      <c r="B19" s="15">
        <f>Flujo_Caja!$B$26</f>
        <v/>
      </c>
    </row>
    <row r="20">
      <c r="A20" s="35" t="inlineStr">
        <is>
          <t>UTILIDAD ANTES DE IMPUESTOS</t>
        </is>
      </c>
      <c r="B20" s="37">
        <f>B16+B19</f>
        <v/>
      </c>
    </row>
    <row r="21">
      <c r="A21" s="6" t="inlineStr">
        <is>
          <t>(-) Impuesto a la renta</t>
        </is>
      </c>
      <c r="B21" s="15">
        <f>-MAX(B20,0)*Supuestos!$B$36</f>
        <v/>
      </c>
    </row>
    <row r="22">
      <c r="A22" s="35" t="inlineStr">
        <is>
          <t>UTILIDAD NETA</t>
        </is>
      </c>
      <c r="B22" s="37">
        <f>B20+B21</f>
        <v/>
      </c>
    </row>
    <row r="23">
      <c r="A23" s="6" t="inlineStr">
        <is>
          <t>Margen neto</t>
        </is>
      </c>
      <c r="B23" s="17">
        <f>B22/B4</f>
        <v/>
      </c>
    </row>
    <row r="26">
      <c r="A26" s="33" t="inlineStr">
        <is>
          <t>Nota: cifras en valores netos (sin IGV). El intereses proviene del flujo de caja financiero.</t>
        </is>
      </c>
    </row>
  </sheetData>
  <mergeCells count="6">
    <mergeCell ref="A13:C13"/>
    <mergeCell ref="A1:C1"/>
    <mergeCell ref="A6:C6"/>
    <mergeCell ref="A18:C18"/>
    <mergeCell ref="A3:C3"/>
    <mergeCell ref="A26:C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 ht="26" customHeight="1">
      <c r="A1" s="8" t="inlineStr">
        <is>
          <t>RESUMEN EJECUTIVO E INDICADORES</t>
        </is>
      </c>
    </row>
    <row r="3">
      <c r="A3" s="9" t="inlineStr">
        <is>
          <t>INVERSIÓN Y ESTRUCTURA</t>
        </is>
      </c>
    </row>
    <row r="4">
      <c r="A4" s="6" t="inlineStr">
        <is>
          <t>Ventas totales (S/)</t>
        </is>
      </c>
      <c r="B4" s="15">
        <f>Supuestos!$B$12</f>
        <v/>
      </c>
    </row>
    <row r="5">
      <c r="A5" s="6" t="inlineStr">
        <is>
          <t>Inversión total del proyecto (S/)</t>
        </is>
      </c>
      <c r="B5" s="15">
        <f>Supuestos!$B$17+Supuestos!$B$18+Supuestos!$B$21+Supuestos!$B$23+Supuestos!$B$25</f>
        <v/>
      </c>
    </row>
    <row r="6">
      <c r="A6" s="6" t="inlineStr">
        <is>
          <t>Monto máximo de financiamiento / carta fianza (S/)</t>
        </is>
      </c>
      <c r="B6" s="15">
        <f>Supuestos!$B$29</f>
        <v/>
      </c>
    </row>
    <row r="7">
      <c r="A7" s="6" t="inlineStr">
        <is>
          <t>Apalancamiento (financiamiento / inversión)</t>
        </is>
      </c>
      <c r="B7" s="19">
        <f>Supuestos!$B$29/B5</f>
        <v/>
      </c>
    </row>
    <row r="8">
      <c r="A8" s="6" t="inlineStr">
        <is>
          <t>Aporte propio del desarrollador (S/)</t>
        </is>
      </c>
      <c r="B8" s="15">
        <f>B5-Supuestos!$B$29</f>
        <v/>
      </c>
    </row>
    <row r="10">
      <c r="A10" s="9" t="inlineStr">
        <is>
          <t>RENTABILIDAD</t>
        </is>
      </c>
    </row>
    <row r="11">
      <c r="A11" s="35" t="inlineStr">
        <is>
          <t>Utilidad neta (S/)</t>
        </is>
      </c>
      <c r="B11" s="37">
        <f>Estado_Resultados!B22</f>
        <v/>
      </c>
    </row>
    <row r="12">
      <c r="A12" s="6" t="inlineStr">
        <is>
          <t>Margen neto</t>
        </is>
      </c>
      <c r="B12" s="19">
        <f>Estado_Resultados!B23</f>
        <v/>
      </c>
    </row>
    <row r="13">
      <c r="A13" s="6" t="inlineStr">
        <is>
          <t>ROI sobre inversión total</t>
        </is>
      </c>
      <c r="B13" s="19">
        <f>Estado_Resultados!B22/B5</f>
        <v/>
      </c>
    </row>
    <row r="15">
      <c r="A15" s="9" t="inlineStr">
        <is>
          <t>EVALUACIÓN ECONÓMICA (sin financiamiento)</t>
        </is>
      </c>
    </row>
    <row r="16">
      <c r="A16" s="35" t="inlineStr">
        <is>
          <t>VAN económico (S/)</t>
        </is>
      </c>
      <c r="B16" s="37">
        <f>NPV(Supuestos!$B$35,Flujo_Caja!C30:Z30)</f>
        <v/>
      </c>
    </row>
    <row r="17">
      <c r="A17" s="6" t="inlineStr">
        <is>
          <t>TIR económica mensual</t>
        </is>
      </c>
      <c r="B17" s="19">
        <f>IRR(Flujo_Caja!C30:Z30)</f>
        <v/>
      </c>
    </row>
    <row r="18">
      <c r="A18" s="6" t="inlineStr">
        <is>
          <t>TIR económica anual</t>
        </is>
      </c>
      <c r="B18" s="19">
        <f>(1+B17)^12-1</f>
        <v/>
      </c>
    </row>
    <row r="20">
      <c r="A20" s="9" t="inlineStr">
        <is>
          <t>EVALUACIÓN FINANCIERA (con financiamiento)</t>
        </is>
      </c>
    </row>
    <row r="21">
      <c r="A21" s="35" t="inlineStr">
        <is>
          <t>VAN financiero (S/)</t>
        </is>
      </c>
      <c r="B21" s="37">
        <f>NPV(Supuestos!$B$35,Flujo_Caja!C32:Z32)</f>
        <v/>
      </c>
    </row>
    <row r="22">
      <c r="A22" s="6" t="inlineStr">
        <is>
          <t>TIR financiera mensual</t>
        </is>
      </c>
      <c r="B22" s="19">
        <f>IRR(Flujo_Caja!C32:Z32)</f>
        <v/>
      </c>
    </row>
    <row r="23">
      <c r="A23" s="6" t="inlineStr">
        <is>
          <t>TIR financiera anual</t>
        </is>
      </c>
      <c r="B23" s="19">
        <f>(1+B22)^12-1</f>
        <v/>
      </c>
    </row>
    <row r="26">
      <c r="A26" s="33" t="inlineStr">
        <is>
          <t>El VAN se calcula con la tasa de descuento mensual (COK) de la hoja Supuestos. La TIR se anualiza como (1+TIR mensual)^12-1.</t>
        </is>
      </c>
    </row>
  </sheetData>
  <mergeCells count="6">
    <mergeCell ref="A20:B20"/>
    <mergeCell ref="A26:B26"/>
    <mergeCell ref="A15:B15"/>
    <mergeCell ref="A10:B10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2026-07-31T14:21:16Z</dcterms:created>
  <dcterms:modified xsi:type="dcterms:W3CDTF">2026-07-31T14:21:16Z</dcterms:modified>
</cp:coreProperties>
</file>